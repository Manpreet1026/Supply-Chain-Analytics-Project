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ae841fc9afe903/"/>
    </mc:Choice>
  </mc:AlternateContent>
  <xr:revisionPtr revIDLastSave="0" documentId="8_{464E3F33-9C3B-471A-9EB8-CEB89B51DB7F}" xr6:coauthVersionLast="47" xr6:coauthVersionMax="47" xr10:uidLastSave="{00000000-0000-0000-0000-000000000000}"/>
  <bookViews>
    <workbookView xWindow="-108" yWindow="-108" windowWidth="23256" windowHeight="12456" xr2:uid="{889A6593-388D-4BFD-A5AA-562D72077DE2}"/>
  </bookViews>
  <sheets>
    <sheet name="Supply Chain Dataset" sheetId="1" r:id="rId1"/>
    <sheet name="Data Profiling" sheetId="2" r:id="rId2"/>
    <sheet name="Revenye by Product" sheetId="4" r:id="rId3"/>
    <sheet name="Stock level by Product Type" sheetId="5" r:id="rId4"/>
    <sheet name="Defect Rate by Supplier" sheetId="6" r:id="rId5"/>
    <sheet name="Shipping cost by Mode" sheetId="7" r:id="rId6"/>
    <sheet name="Insights" sheetId="8" r:id="rId7"/>
  </sheet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2" l="1"/>
  <c r="F56" i="2"/>
  <c r="F54" i="2"/>
  <c r="F53" i="2"/>
  <c r="F52" i="2"/>
  <c r="D56" i="2"/>
  <c r="E56" i="2"/>
  <c r="E55" i="2"/>
  <c r="E54" i="2"/>
  <c r="E53" i="2"/>
  <c r="E52" i="2"/>
  <c r="D55" i="2"/>
  <c r="D54" i="2"/>
  <c r="D53" i="2"/>
  <c r="D52" i="2"/>
  <c r="F51" i="2"/>
  <c r="E51" i="2"/>
  <c r="D51" i="2"/>
  <c r="D26" i="2"/>
  <c r="D25" i="2"/>
  <c r="D24" i="2"/>
  <c r="D23" i="2"/>
  <c r="D22" i="2"/>
  <c r="D21" i="2"/>
  <c r="D20" i="2"/>
  <c r="D19" i="2"/>
</calcChain>
</file>

<file path=xl/sharedStrings.xml><?xml version="1.0" encoding="utf-8"?>
<sst xmlns="http://schemas.openxmlformats.org/spreadsheetml/2006/main" count="1042" uniqueCount="208">
  <si>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</si>
  <si>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</si>
  <si>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</si>
  <si>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</si>
  <si>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</si>
  <si>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</si>
  <si>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</si>
  <si>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</si>
  <si>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</si>
  <si>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</si>
  <si>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</si>
  <si>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</si>
  <si>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</si>
  <si>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</si>
  <si>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</si>
  <si>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</si>
  <si>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</si>
  <si>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</si>
  <si>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</si>
  <si>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</si>
  <si>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</si>
  <si>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</si>
  <si>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</si>
  <si>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</si>
  <si>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</si>
  <si>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</si>
  <si>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</si>
  <si>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</si>
  <si>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</si>
  <si>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</si>
  <si>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</si>
  <si>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</si>
  <si>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</si>
  <si>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</si>
  <si>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</si>
  <si>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</si>
  <si>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</si>
  <si>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</si>
  <si>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</si>
  <si>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</si>
  <si>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</si>
  <si>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</si>
  <si>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</si>
  <si>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</si>
  <si>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</si>
  <si>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</si>
  <si>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</si>
  <si>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</si>
  <si>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</si>
  <si>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</si>
  <si>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</si>
  <si>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</si>
  <si>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</si>
  <si>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</si>
  <si>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</si>
  <si>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</si>
  <si>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</si>
  <si>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</si>
  <si>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</si>
  <si>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</si>
  <si>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</si>
  <si>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</si>
  <si>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</si>
  <si>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</si>
  <si>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</si>
  <si>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</si>
  <si>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</si>
  <si>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</si>
  <si>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</si>
  <si>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</si>
  <si>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</si>
  <si>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</si>
  <si>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</si>
  <si>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</si>
  <si>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</si>
  <si>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</si>
  <si>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</si>
  <si>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</si>
  <si>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</si>
  <si>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</si>
  <si>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</si>
  <si>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</si>
  <si>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</si>
  <si>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</si>
  <si>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</si>
  <si>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</si>
  <si>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</si>
  <si>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</si>
  <si>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</si>
  <si>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</si>
  <si>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</si>
  <si>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</si>
  <si>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</si>
  <si>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</si>
  <si>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</si>
  <si>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</si>
  <si>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</si>
  <si>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</si>
  <si>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</si>
  <si>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</si>
  <si>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</si>
  <si>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</si>
  <si>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</si>
  <si>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</si>
  <si>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</si>
  <si>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</si>
  <si>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</si>
  <si>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</si>
  <si>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</si>
  <si>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</si>
  <si>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</si>
  <si>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</si>
  <si>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</si>
  <si>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</si>
  <si>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</si>
  <si>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</si>
  <si>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</si>
  <si>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</si>
  <si>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</si>
  <si>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</si>
  <si>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</si>
  <si>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</si>
  <si>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</si>
  <si>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</si>
  <si>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</si>
  <si>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</si>
  <si>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</si>
  <si>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</si>
  <si>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</si>
  <si>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</si>
  <si>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</si>
  <si>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</si>
  <si>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</si>
  <si>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</si>
  <si>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</si>
  <si>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</si>
  <si>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</si>
  <si>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</si>
  <si>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</si>
  <si>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</si>
  <si>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</si>
  <si>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</si>
  <si>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</si>
  <si>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</si>
  <si>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</si>
  <si>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</si>
  <si>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</si>
  <si>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</si>
  <si>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</si>
  <si>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</si>
  <si>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</si>
  <si>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</si>
  <si>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</si>
  <si>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</si>
  <si>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No. of rows</t>
  </si>
  <si>
    <t>No. of columns</t>
  </si>
  <si>
    <t>Important Column</t>
  </si>
  <si>
    <t>Why it is important</t>
  </si>
  <si>
    <t>Compare revenue by product category</t>
  </si>
  <si>
    <t>Measure sales performance</t>
  </si>
  <si>
    <t>Check inventory availability</t>
  </si>
  <si>
    <t>Measure delivery speed</t>
  </si>
  <si>
    <t>Analyze logistics cost</t>
  </si>
  <si>
    <t>Compare supplier performance</t>
  </si>
  <si>
    <t>Check product quality</t>
  </si>
  <si>
    <t>Compare shipping methods</t>
  </si>
  <si>
    <t>Data Quality Check</t>
  </si>
  <si>
    <t>Column</t>
  </si>
  <si>
    <t>Missing Values</t>
  </si>
  <si>
    <t>Duplicate Check</t>
  </si>
  <si>
    <t>Duplicate Rows</t>
  </si>
  <si>
    <t>Variable Classification</t>
  </si>
  <si>
    <t>Numerical Variable</t>
  </si>
  <si>
    <t>Categorical Variable</t>
  </si>
  <si>
    <t>The dataset contains a balanced mix of numerical and categorical variables, enabling both quantitative analysis and categorical segmentation for business decision-making.</t>
  </si>
  <si>
    <t>Descriptive Statistics Summary</t>
  </si>
  <si>
    <t>Variable</t>
  </si>
  <si>
    <t>Average</t>
  </si>
  <si>
    <t>Minimum</t>
  </si>
  <si>
    <t>Maximum</t>
  </si>
  <si>
    <t>Key Insight</t>
  </si>
  <si>
    <t>Revenue generated shows a wide range, indicating significant variation in product performance.</t>
  </si>
  <si>
    <t>Stock levels range from 0 to 100 units, highlighting differences in inventory allocation.</t>
  </si>
  <si>
    <t>Shipping costs and defect rates remain relatively stable across products.</t>
  </si>
  <si>
    <t>The dataset contains sufficient variation to support meaningful supply chain analysis.</t>
  </si>
  <si>
    <t>Sum of Revenue generated</t>
  </si>
  <si>
    <t>Grand Total</t>
  </si>
  <si>
    <t>Average of Stock levels</t>
  </si>
  <si>
    <t>Average of Defect rates</t>
  </si>
  <si>
    <t>Average of Shipping costs</t>
  </si>
  <si>
    <t xml:space="preserve">Revenue by Product </t>
  </si>
  <si>
    <t>Stock level by Product type</t>
  </si>
  <si>
    <t>Defect rate by Supplier</t>
  </si>
  <si>
    <t>Shipping Cost by Transportation Mode</t>
  </si>
  <si>
    <t>Skincare generated the highest revenue ($241,628).</t>
  </si>
  <si>
    <t>Cosmetics had the highest average stock level (58.65).</t>
  </si>
  <si>
    <t>Supplier 5 had the highest defect rate (2.67).</t>
  </si>
  <si>
    <t>Air transportation had the highest average shipping cost (6.02).</t>
  </si>
  <si>
    <t>Haircare generated $174,455.</t>
  </si>
  <si>
    <t>Haircare maintained moderate inventory levels (48.35).</t>
  </si>
  <si>
    <t>Supplier 1 had the lowest defect rate (1.80).</t>
  </si>
  <si>
    <t>Sea transportation had the lowest average shipping cost (4.97).</t>
  </si>
  <si>
    <t>Cosmetics generated $161,521.</t>
  </si>
  <si>
    <t>Skincare had the lowest average stock level (40.20).</t>
  </si>
  <si>
    <t>Supplier performance differs across vendors.</t>
  </si>
  <si>
    <t>Transportation mode impacts logistics expenses.</t>
  </si>
  <si>
    <t>Skincare appears to be the strongest-performing product category.</t>
  </si>
  <si>
    <t>Inventory levels vary across product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</si>
</sst>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0" fillId="0" borderId="0" xfId="0" pivotButton="1"/>
    <xf numFmtId="0" fontId="19" fillId="0" borderId="0" xfId="0" applyFont="1" applyAlignment="1">
      <alignment wrapText="1"/>
    </xf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6" fillId="0" borderId="0" xfId="0" applyFont="1" applyAlignment="1">
      <alignment horizontal="center"/>
    </xf>
    <xf numFmtId="2" fontId="0" fillId="0" borderId="0" xfId="0" applyNumberFormat="1"/>
    <xf numFmtId="0" fontId="18" fillId="0" borderId="0" xfId="0" applyFont="1" applyAlignment="1">
      <alignment wrapText="1"/>
    </xf>
    <xf numFmtId="0" fontId="21" fillId="0" borderId="0" xfId="0" applyFont="1"/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[supply_chain_data_.xlsx]Revenye by Product!PivotTable1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Revenue Generated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'Revenye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'Revenye by Product'!$A$4:$A$7</c:f>
              <c:strCache>
                <c:ptCount val="3"/>
                <c:pt idx="0">
                  <c:v>skincare</c:v>
                </c:pt>
                <c:pt idx="1">
                  <c:v>haircare</c:v>
                </c:pt>
                <c:pt idx="2">
                  <c:v>cosmetics</c:v>
                </c:pt>
              </c:strCache>
            </c:strRef>
          </c:cat>
          <c:val>
            <c:numRef>
              <c:f>'Revenye by Product'!$B$4:$B$7</c:f>
              <c:numCache>
                <c:formatCode>0.00</c:formatCode>
                <c:ptCount val="3"/>
                <c:pt idx="0">
                  <c:v>241628.16213306302</c:v>
                </c:pt>
                <c:pt idx="1">
                  <c:v>174455.39060546222</c:v>
                </c:pt>
                <c:pt idx="2">
                  <c:v>161521.26599948306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6-4043-8DCC-2C897E273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3"/>
        <c:overlap val="-27"/>
        <c:axId val="1106051592"/>
        <c:axId val="1106053640"/>
      </c:barChart>
      <c:catAx>
        <c:axId val="1106051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Product Type</a:t>
                </a:r>
              </a:p>
            </c:rich>
          </c:tx>
          <c:layout>
            <c:manualLayout>
              <c:xMode val="edge"/>
              <c:yMode val="edge"/>
              <c:x val="0.37711105145137019"/>
              <c:y val="0.886996486443547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053640"/>
        <c:crosses val="autoZero"/>
        <c:auto val="1"/>
        <c:lblAlgn val="ctr"/>
        <c:lblOffset val="100"/>
        <c:noMultiLvlLbl val="0"/>
      </c:catAx>
      <c:valAx>
        <c:axId val="110605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Total Revenue Generated</a:t>
                </a:r>
              </a:p>
            </c:rich>
          </c:tx>
          <c:layout>
            <c:manualLayout>
              <c:xMode val="edge"/>
              <c:yMode val="edge"/>
              <c:x val="1.5367273018185029E-2"/>
              <c:y val="0.18888317920821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05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[supply_chain_data_.xlsx]Stock level by Product Type!PivotTable3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Stock Levels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 level by Product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'Stock level by Product Type'!$A$4:$A$7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'Stock level by Product Type'!$B$4:$B$7</c:f>
              <c:numCache>
                <c:formatCode>0.00</c:formatCode>
                <c:ptCount val="3"/>
                <c:pt idx="0">
                  <c:v>58.653846153846153</c:v>
                </c:pt>
                <c:pt idx="1">
                  <c:v>48.352941176470587</c:v>
                </c:pt>
                <c:pt idx="2">
                  <c:v>40.200000000000003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9-4D88-9C19-FD8480332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091528"/>
        <c:axId val="1202214408"/>
      </c:barChart>
      <c:catAx>
        <c:axId val="1106091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14408"/>
        <c:crosses val="autoZero"/>
        <c:auto val="1"/>
        <c:lblAlgn val="ctr"/>
        <c:lblOffset val="100"/>
        <c:noMultiLvlLbl val="0"/>
      </c:catAx>
      <c:valAx>
        <c:axId val="120221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stock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091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[supply_chain_data_.xlsx]Defect Rate by Supplier!PivotTable4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Defect Rate by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'Defect Rate by Supplier'!$B$3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'Defect Rate by Supplier'!$A$4:$A$9</c:f>
              <c:strCache>
                <c:ptCount val="5"/>
                <c:pt idx="0">
                  <c:v>Supplier 5</c:v>
                </c:pt>
                <c:pt idx="1">
                  <c:v>Supplier 4</c:v>
                </c:pt>
                <c:pt idx="2">
                  <c:v>Supplier 3</c:v>
                </c:pt>
                <c:pt idx="3">
                  <c:v>Supplier 2</c:v>
                </c:pt>
                <c:pt idx="4">
                  <c:v>Supplier 1</c:v>
                </c:pt>
              </c:strCache>
            </c:strRef>
          </c:cat>
          <c:val>
            <c:numRef>
              <c:f>'Defect Rate by Supplier'!$B$4:$B$9</c:f>
              <c:numCache>
                <c:formatCode>0.00</c:formatCode>
                <c:ptCount val="5"/>
                <c:pt idx="0">
                  <c:v>2.6654083441491982</c:v>
                </c:pt>
                <c:pt idx="1">
                  <c:v>2.3373974005913354</c:v>
                </c:pt>
                <c:pt idx="2">
                  <c:v>2.4657860307644657</c:v>
                </c:pt>
                <c:pt idx="3">
                  <c:v>2.3627501450718764</c:v>
                </c:pt>
                <c:pt idx="4">
                  <c:v>1.8036297116882485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1-463C-8BBA-74D612FF6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092040"/>
        <c:axId val="1554094088"/>
      </c:barChart>
      <c:catAx>
        <c:axId val="1554092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Supplier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094088"/>
        <c:crosses val="autoZero"/>
        <c:auto val="1"/>
        <c:lblAlgn val="ctr"/>
        <c:lblOffset val="100"/>
        <c:noMultiLvlLbl val="0"/>
      </c:catAx>
      <c:valAx>
        <c:axId val="1554094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Defect 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092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[supply_chain_data_.xlsx]Shipping cost by Mode!PivotTable1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Shipping Cost by Transportation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'Shipping cost by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'Shipping cost by Mode'!$A$4:$A$8</c:f>
              <c:strCache>
                <c:ptCount val="4"/>
                <c:pt idx="0">
                  <c:v>Sea</c:v>
                </c:pt>
                <c:pt idx="1">
                  <c:v>Road</c:v>
                </c:pt>
                <c:pt idx="2">
                  <c:v>Rail</c:v>
                </c:pt>
                <c:pt idx="3">
                  <c:v>Air</c:v>
                </c:pt>
              </c:strCache>
            </c:strRef>
          </c:cat>
          <c:val>
            <c:numRef>
              <c:f>'Shipping cost by Mode'!$B$4:$B$8</c:f>
              <c:numCache>
                <c:formatCode>0.00</c:formatCode>
                <c:ptCount val="4"/>
                <c:pt idx="0">
                  <c:v>4.9702938152238989</c:v>
                </c:pt>
                <c:pt idx="1">
                  <c:v>5.542115390045792</c:v>
                </c:pt>
                <c:pt idx="2">
                  <c:v>5.4690979361028562</c:v>
                </c:pt>
                <c:pt idx="3">
                  <c:v>6.0178393777286159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F-4580-A6DC-35FF5D98B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670407"/>
        <c:axId val="1293672455"/>
      </c:barChart>
      <c:catAx>
        <c:axId val="1293670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Transportation Modes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72455"/>
        <c:crosses val="autoZero"/>
        <c:auto val="1"/>
        <c:lblAlgn val="ctr"/>
        <c:lblOffset val="100"/>
        <c:noMultiLvlLbl val="0"/>
      </c:catAx>
      <c:valAx>
        <c:axId val="1293672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shipping costs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70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2</xdr:row>
      <xdr:rowOff>19050</xdr:rowOff>
    </xdr:from>
    <xdr:to>
      <xdr:col>13</xdr:col>
      <xdr:colOff>542925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902A1-CEE7-A0B2-3BA6-765735630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152400</xdr:rowOff>
    </xdr:from>
    <xdr:to>
      <xdr:col>10</xdr:col>
      <xdr:colOff>95250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A5C2B-F59B-0A94-D085-B3BC72C22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4</xdr:row>
      <xdr:rowOff>152400</xdr:rowOff>
    </xdr:from>
    <xdr:to>
      <xdr:col>13</xdr:col>
      <xdr:colOff>28575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A043D-72CD-8056-76D9-94BDBB5EC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3</xdr:row>
      <xdr:rowOff>133350</xdr:rowOff>
    </xdr:from>
    <xdr:to>
      <xdr:col>11</xdr:col>
      <xdr:colOff>571500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D0CCC-3A61-CD42-17DA-67BAA942F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2.617043865743" createdVersion="8" refreshedVersion="8" minRefreshableVersion="3" recordCount="100" xr:uid="{C46C08FA-3793-43F9-BCF2-EF8126586866}">
  <cacheSource type="worksheet">
    <worksheetSource ref="A1:X101" sheet="Supply Chain Dataset"/>
  </cacheSource>
  <cacheFields count="24">
    <cacheField name="Product type" numFmtId="0">
      <sharedItems count="3">
        <s v="haircare"/>
        <s v="skincare"/>
        <s v="cosmetics"/>
      </sharedItems>
    </cacheField>
    <cacheField name="SKU" numFmtId="0">
      <sharedItems/>
    </cacheField>
    <cacheField name="Price" numFmtId="0">
      <sharedItems containsSemiMixedTypes="0" containsString="0" containsNumber="1" minValue="1.6999760138659299" maxValue="99.171328638624104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0">
      <sharedItems containsSemiMixedTypes="0" containsString="0" containsNumber="1" minValue="1061.6185230132801" maxValue="9866.4654579796897"/>
    </cacheField>
    <cacheField name="Customer demographics" numFmtId="0">
      <sharedItems/>
    </cacheField>
    <cacheField name="Stock levels" numFmtId="0">
      <sharedItems containsSemiMixedTypes="0" containsString="0" containsNumber="1" containsInteger="1" minValue="0" maxValue="100" count="65">
        <n v="58"/>
        <n v="53"/>
        <n v="1"/>
        <n v="23"/>
        <n v="5"/>
        <n v="90"/>
        <n v="11"/>
        <n v="93"/>
        <n v="14"/>
        <n v="51"/>
        <n v="46"/>
        <n v="100"/>
        <n v="80"/>
        <n v="54"/>
        <n v="9"/>
        <n v="2"/>
        <n v="45"/>
        <n v="10"/>
        <n v="48"/>
        <n v="27"/>
        <n v="69"/>
        <n v="71"/>
        <n v="84"/>
        <n v="4"/>
        <n v="82"/>
        <n v="59"/>
        <n v="47"/>
        <n v="60"/>
        <n v="6"/>
        <n v="89"/>
        <n v="42"/>
        <n v="18"/>
        <n v="25"/>
        <n v="78"/>
        <n v="64"/>
        <n v="22"/>
        <n v="36"/>
        <n v="13"/>
        <n v="92"/>
        <n v="30"/>
        <n v="97"/>
        <n v="31"/>
        <n v="96"/>
        <n v="33"/>
        <n v="41"/>
        <n v="32"/>
        <n v="86"/>
        <n v="73"/>
        <n v="57"/>
        <n v="12"/>
        <n v="0"/>
        <n v="95"/>
        <n v="76"/>
        <n v="17"/>
        <n v="16"/>
        <n v="38"/>
        <n v="39"/>
        <n v="65"/>
        <n v="15"/>
        <n v="66"/>
        <n v="98"/>
        <n v="63"/>
        <n v="77"/>
        <n v="67"/>
        <n v="55"/>
      </sharedItems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/>
    </cacheField>
    <cacheField name="Shipping costs" numFmtId="0">
      <sharedItems containsSemiMixedTypes="0" containsString="0" containsNumber="1" minValue="1.0134865660958901" maxValue="9.9298162452772498"/>
    </cacheField>
    <cacheField name="Supplier name" numFmtId="0">
      <sharedItems count="5">
        <s v="Supplier 3"/>
        <s v="Supplier 1"/>
        <s v="Supplier 5"/>
        <s v="Supplier 4"/>
        <s v="Supplier 2"/>
      </sharedItems>
    </cacheField>
    <cacheField name="Location" numFmtId="0">
      <sharedItems/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0">
      <sharedItems containsSemiMixedTypes="0" containsString="0" containsNumber="1" minValue="1.0850685695870601" maxValue="99.466108603599096"/>
    </cacheField>
    <cacheField name="Inspection results" numFmtId="0">
      <sharedItems/>
    </cacheField>
    <cacheField name="Defect rates" numFmtId="0">
      <sharedItems containsSemiMixedTypes="0" containsString="0" containsNumber="1" minValue="1.8607567631014899E-2" maxValue="4.9392552886209398"/>
    </cacheField>
    <cacheField name="Transportation modes" numFmtId="0">
      <sharedItems count="4">
        <s v="Road"/>
        <s v="Air"/>
        <s v="Rail"/>
        <s v="Sea"/>
      </sharedItems>
    </cacheField>
    <cacheField name="Routes" numFmtId="0">
      <sharedItems/>
    </cacheField>
    <cacheField name="Costs" numFmtId="0">
      <sharedItems containsSemiMixedTypes="0" containsString="0" containsNumber="1" minValue="103.916247960704" maxValue="997.413450133194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SKU0"/>
    <n v="69.808005542115694"/>
    <n v="55"/>
    <n v="802"/>
    <n v="8661.9967923923796"/>
    <s v="Non-binary"/>
    <x v="0"/>
    <n v="7"/>
    <n v="96"/>
    <n v="4"/>
    <s v="Carrier B"/>
    <n v="2.9565721394308002"/>
    <x v="0"/>
    <s v="Mumbai"/>
    <n v="29"/>
    <n v="215"/>
    <n v="29"/>
    <n v="46.279879240508301"/>
    <s v="Pending"/>
    <n v="0.226410360849925"/>
    <x v="0"/>
    <s v="Route B"/>
    <n v="187.75207545920301"/>
  </r>
  <r>
    <x v="1"/>
    <s v="SKU1"/>
    <n v="14.8435232750843"/>
    <n v="95"/>
    <n v="736"/>
    <n v="7460.9000654458396"/>
    <s v="Female"/>
    <x v="1"/>
    <n v="30"/>
    <n v="37"/>
    <n v="2"/>
    <s v="Carrier A"/>
    <n v="9.7165747714313095"/>
    <x v="0"/>
    <s v="Mumbai"/>
    <n v="23"/>
    <n v="517"/>
    <n v="30"/>
    <n v="33.616768953730002"/>
    <s v="Pending"/>
    <n v="4.8540680263886999"/>
    <x v="0"/>
    <s v="Route B"/>
    <n v="503.06557914966902"/>
  </r>
  <r>
    <x v="0"/>
    <s v="SKU2"/>
    <n v="11.319683293090501"/>
    <n v="34"/>
    <n v="8"/>
    <n v="9577.7496258687297"/>
    <s v="Unknown"/>
    <x v="2"/>
    <n v="10"/>
    <n v="88"/>
    <n v="2"/>
    <s v="Carrier B"/>
    <n v="8.0544792617321495"/>
    <x v="1"/>
    <s v="Mumbai"/>
    <n v="12"/>
    <n v="971"/>
    <n v="27"/>
    <n v="30.6880193482842"/>
    <s v="Pending"/>
    <n v="4.5805926191992201"/>
    <x v="1"/>
    <s v="Route C"/>
    <n v="141.920281771519"/>
  </r>
  <r>
    <x v="1"/>
    <s v="SKU3"/>
    <n v="61.1633430164377"/>
    <n v="68"/>
    <n v="83"/>
    <n v="7766.8364256852301"/>
    <s v="Non-binary"/>
    <x v="3"/>
    <n v="13"/>
    <n v="59"/>
    <n v="6"/>
    <s v="Carrier C"/>
    <n v="1.7295685635434199"/>
    <x v="2"/>
    <s v="Kolkata"/>
    <n v="24"/>
    <n v="937"/>
    <n v="18"/>
    <n v="35.624741397125"/>
    <s v="Fail"/>
    <n v="4.7466486206477496"/>
    <x v="2"/>
    <s v="Route A"/>
    <n v="254.776159219286"/>
  </r>
  <r>
    <x v="1"/>
    <s v="SKU4"/>
    <n v="4.8054960363458896"/>
    <n v="26"/>
    <n v="871"/>
    <n v="2686.50515156744"/>
    <s v="Non-binary"/>
    <x v="4"/>
    <n v="3"/>
    <n v="56"/>
    <n v="8"/>
    <s v="Carrier A"/>
    <n v="3.8905479158706702"/>
    <x v="1"/>
    <s v="Delhi"/>
    <n v="5"/>
    <n v="414"/>
    <n v="3"/>
    <n v="92.065160598712794"/>
    <s v="Fail"/>
    <n v="3.1455795228330001"/>
    <x v="1"/>
    <s v="Route A"/>
    <n v="923.44063171192204"/>
  </r>
  <r>
    <x v="0"/>
    <s v="SKU5"/>
    <n v="1.6999760138659299"/>
    <n v="87"/>
    <n v="147"/>
    <n v="2828.3487459757498"/>
    <s v="Non-binary"/>
    <x v="5"/>
    <n v="27"/>
    <n v="66"/>
    <n v="3"/>
    <s v="Carrier B"/>
    <n v="4.4440988643822896"/>
    <x v="3"/>
    <s v="Bangalore"/>
    <n v="10"/>
    <n v="104"/>
    <n v="17"/>
    <n v="56.766475557431797"/>
    <s v="Fail"/>
    <n v="2.7791935115711599"/>
    <x v="0"/>
    <s v="Route A"/>
    <n v="235.461236735537"/>
  </r>
  <r>
    <x v="1"/>
    <s v="SKU6"/>
    <n v="4.0783328631079403"/>
    <n v="48"/>
    <n v="65"/>
    <n v="7823.4765595317303"/>
    <s v="Male"/>
    <x v="6"/>
    <n v="15"/>
    <n v="58"/>
    <n v="8"/>
    <s v="Carrier C"/>
    <n v="3.8807633029519999"/>
    <x v="0"/>
    <s v="Kolkata"/>
    <n v="14"/>
    <n v="314"/>
    <n v="24"/>
    <n v="1.0850685695870601"/>
    <s v="Pending"/>
    <n v="1.0009106193041299"/>
    <x v="3"/>
    <s v="Route A"/>
    <n v="134.36909686103101"/>
  </r>
  <r>
    <x v="2"/>
    <s v="SKU7"/>
    <n v="42.958384382459997"/>
    <n v="59"/>
    <n v="426"/>
    <n v="8496.1038130898305"/>
    <s v="Female"/>
    <x v="7"/>
    <n v="17"/>
    <n v="11"/>
    <n v="1"/>
    <s v="Carrier B"/>
    <n v="2.3483387844177801"/>
    <x v="3"/>
    <s v="Bangalore"/>
    <n v="22"/>
    <n v="564"/>
    <n v="1"/>
    <n v="99.466108603599096"/>
    <s v="Fail"/>
    <n v="0.39817718685065001"/>
    <x v="0"/>
    <s v="Route C"/>
    <n v="802.05631181755803"/>
  </r>
  <r>
    <x v="2"/>
    <s v="SKU8"/>
    <n v="68.717596748527299"/>
    <n v="78"/>
    <n v="150"/>
    <n v="7517.3632106311197"/>
    <s v="Female"/>
    <x v="4"/>
    <n v="10"/>
    <n v="15"/>
    <n v="7"/>
    <s v="Carrier C"/>
    <n v="3.4047338570830199"/>
    <x v="3"/>
    <s v="Mumbai"/>
    <n v="13"/>
    <n v="769"/>
    <n v="8"/>
    <n v="11.423027139565599"/>
    <s v="Pending"/>
    <n v="2.7098626911099601"/>
    <x v="3"/>
    <s v="Route B"/>
    <n v="505.55713422546398"/>
  </r>
  <r>
    <x v="1"/>
    <s v="SKU9"/>
    <n v="64.0157329412785"/>
    <n v="35"/>
    <n v="980"/>
    <n v="4971.1459875855498"/>
    <s v="Unknown"/>
    <x v="8"/>
    <n v="27"/>
    <n v="83"/>
    <n v="1"/>
    <s v="Carrier A"/>
    <n v="7.1666452910482104"/>
    <x v="4"/>
    <s v="Chennai"/>
    <n v="29"/>
    <n v="963"/>
    <n v="23"/>
    <n v="47.957601634951502"/>
    <s v="Pending"/>
    <n v="3.8446144787675798"/>
    <x v="2"/>
    <s v="Route B"/>
    <n v="995.92946149864099"/>
  </r>
  <r>
    <x v="1"/>
    <s v="SKU10"/>
    <n v="15.707795681912099"/>
    <n v="11"/>
    <n v="996"/>
    <n v="2330.9658020919401"/>
    <s v="Non-binary"/>
    <x v="9"/>
    <n v="13"/>
    <n v="80"/>
    <n v="2"/>
    <s v="Carrier C"/>
    <n v="8.6732112112786108"/>
    <x v="2"/>
    <s v="Kolkata"/>
    <n v="18"/>
    <n v="830"/>
    <n v="5"/>
    <n v="96.527352785310896"/>
    <s v="Pass"/>
    <n v="1.72731392835594"/>
    <x v="0"/>
    <s v="Route B"/>
    <n v="806.10317770292295"/>
  </r>
  <r>
    <x v="1"/>
    <s v="SKU11"/>
    <n v="90.635459982288594"/>
    <n v="95"/>
    <n v="960"/>
    <n v="6099.9441155814502"/>
    <s v="Female"/>
    <x v="10"/>
    <n v="23"/>
    <n v="60"/>
    <n v="1"/>
    <s v="Carrier A"/>
    <n v="4.5239431243166601"/>
    <x v="4"/>
    <s v="Kolkata"/>
    <n v="28"/>
    <n v="362"/>
    <n v="11"/>
    <n v="27.5923630866636"/>
    <s v="Pending"/>
    <n v="2.1169821372994301E-2"/>
    <x v="1"/>
    <s v="Route A"/>
    <n v="126.72303340940699"/>
  </r>
  <r>
    <x v="0"/>
    <s v="SKU12"/>
    <n v="71.213389075359999"/>
    <n v="41"/>
    <n v="336"/>
    <n v="2873.74144602144"/>
    <s v="Unknown"/>
    <x v="11"/>
    <n v="30"/>
    <n v="85"/>
    <n v="4"/>
    <s v="Carrier A"/>
    <n v="1.32527401018452"/>
    <x v="3"/>
    <s v="Kolkata"/>
    <n v="3"/>
    <n v="563"/>
    <n v="3"/>
    <n v="32.321286213424003"/>
    <s v="Fail"/>
    <n v="2.1612537475559099"/>
    <x v="0"/>
    <s v="Route B"/>
    <n v="402.96878907376998"/>
  </r>
  <r>
    <x v="1"/>
    <s v="SKU13"/>
    <n v="16.160393317379899"/>
    <n v="5"/>
    <n v="249"/>
    <n v="4052.7384162378598"/>
    <s v="Male"/>
    <x v="12"/>
    <n v="8"/>
    <n v="48"/>
    <n v="9"/>
    <s v="Carrier A"/>
    <n v="9.5372830611083295"/>
    <x v="2"/>
    <s v="Bangalore"/>
    <n v="23"/>
    <n v="173"/>
    <n v="10"/>
    <n v="97.829050110173199"/>
    <s v="Pending"/>
    <n v="1.63107423007153"/>
    <x v="0"/>
    <s v="Route B"/>
    <n v="547.24100516096803"/>
  </r>
  <r>
    <x v="1"/>
    <s v="SKU14"/>
    <n v="99.171328638624104"/>
    <n v="26"/>
    <n v="562"/>
    <n v="8653.5709264697998"/>
    <s v="Non-binary"/>
    <x v="13"/>
    <n v="29"/>
    <n v="78"/>
    <n v="5"/>
    <s v="Carrier B"/>
    <n v="2.0397701894493299"/>
    <x v="1"/>
    <s v="Kolkata"/>
    <n v="25"/>
    <n v="558"/>
    <n v="14"/>
    <n v="5.7914366298629796"/>
    <s v="Pending"/>
    <n v="0.100682851565093"/>
    <x v="1"/>
    <s v="Route B"/>
    <n v="929.23528996088896"/>
  </r>
  <r>
    <x v="1"/>
    <s v="SKU15"/>
    <n v="36.989244928626903"/>
    <n v="94"/>
    <n v="469"/>
    <n v="5442.0867853976697"/>
    <s v="Non-binary"/>
    <x v="14"/>
    <n v="8"/>
    <n v="69"/>
    <n v="7"/>
    <s v="Carrier B"/>
    <n v="2.4220397232752"/>
    <x v="1"/>
    <s v="Bangalore"/>
    <n v="14"/>
    <n v="580"/>
    <n v="7"/>
    <n v="97.121281751474299"/>
    <s v="Pass"/>
    <n v="2.2644057611985402"/>
    <x v="3"/>
    <s v="Route B"/>
    <n v="127.861800001625"/>
  </r>
  <r>
    <x v="1"/>
    <s v="SKU16"/>
    <n v="7.5471721097912701"/>
    <n v="74"/>
    <n v="280"/>
    <n v="6453.7979681762799"/>
    <s v="Female"/>
    <x v="15"/>
    <n v="5"/>
    <n v="78"/>
    <n v="1"/>
    <s v="Carrier B"/>
    <n v="4.1913245857054999"/>
    <x v="1"/>
    <s v="Bangalore"/>
    <n v="3"/>
    <n v="399"/>
    <n v="21"/>
    <n v="77.106342497849994"/>
    <s v="Pass"/>
    <n v="1.01256308925804"/>
    <x v="1"/>
    <s v="Route A"/>
    <n v="865.52577977123997"/>
  </r>
  <r>
    <x v="2"/>
    <s v="SKU17"/>
    <n v="81.462534369237005"/>
    <n v="82"/>
    <n v="126"/>
    <n v="2629.39643484526"/>
    <s v="Female"/>
    <x v="16"/>
    <n v="17"/>
    <n v="85"/>
    <n v="9"/>
    <s v="Carrier C"/>
    <n v="3.5854189582323399"/>
    <x v="1"/>
    <s v="Chennai"/>
    <n v="7"/>
    <n v="453"/>
    <n v="16"/>
    <n v="47.679680368355299"/>
    <s v="Fail"/>
    <n v="0.102020754918176"/>
    <x v="1"/>
    <s v="Route C"/>
    <n v="670.93439079241"/>
  </r>
  <r>
    <x v="0"/>
    <s v="SKU18"/>
    <n v="36.4436277704609"/>
    <n v="23"/>
    <n v="620"/>
    <n v="9364.6735050761708"/>
    <s v="Unknown"/>
    <x v="17"/>
    <n v="10"/>
    <n v="46"/>
    <n v="8"/>
    <s v="Carrier C"/>
    <n v="4.3392247141107001"/>
    <x v="4"/>
    <s v="Kolkata"/>
    <n v="18"/>
    <n v="374"/>
    <n v="17"/>
    <n v="27.107980854843898"/>
    <s v="Pending"/>
    <n v="2.2319391107292601"/>
    <x v="3"/>
    <s v="Route A"/>
    <n v="593.48025872065102"/>
  </r>
  <r>
    <x v="1"/>
    <s v="SKU19"/>
    <n v="51.123870087964697"/>
    <n v="100"/>
    <n v="187"/>
    <n v="2553.4955849912099"/>
    <s v="Unknown"/>
    <x v="18"/>
    <n v="11"/>
    <n v="94"/>
    <n v="3"/>
    <s v="Carrier A"/>
    <n v="4.7426358828418698"/>
    <x v="3"/>
    <s v="Chennai"/>
    <n v="20"/>
    <n v="694"/>
    <n v="16"/>
    <n v="82.373320587990193"/>
    <s v="Fail"/>
    <n v="3.64645086541702"/>
    <x v="0"/>
    <s v="Route C"/>
    <n v="477.30763109090299"/>
  </r>
  <r>
    <x v="1"/>
    <s v="SKU20"/>
    <n v="96.341072439963298"/>
    <n v="22"/>
    <n v="320"/>
    <n v="8128.0276968511898"/>
    <s v="Unknown"/>
    <x v="19"/>
    <n v="12"/>
    <n v="68"/>
    <n v="6"/>
    <s v="Carrier A"/>
    <n v="8.8783346509268402"/>
    <x v="1"/>
    <s v="Chennai"/>
    <n v="29"/>
    <n v="309"/>
    <n v="6"/>
    <n v="65.686259608488598"/>
    <s v="Pass"/>
    <n v="4.2314165735345304"/>
    <x v="1"/>
    <s v="Route B"/>
    <n v="493.871215316205"/>
  </r>
  <r>
    <x v="2"/>
    <s v="SKU21"/>
    <n v="84.893868984950799"/>
    <n v="60"/>
    <n v="601"/>
    <n v="7087.0526963574302"/>
    <s v="Unknown"/>
    <x v="20"/>
    <n v="25"/>
    <n v="7"/>
    <n v="6"/>
    <s v="Carrier B"/>
    <n v="6.0378837692182898"/>
    <x v="2"/>
    <s v="Chennai"/>
    <n v="19"/>
    <n v="791"/>
    <n v="4"/>
    <n v="61.735728954160898"/>
    <s v="Pending"/>
    <n v="1.8607567631014899E-2"/>
    <x v="1"/>
    <s v="Route C"/>
    <n v="523.36091472015801"/>
  </r>
  <r>
    <x v="0"/>
    <s v="SKU22"/>
    <n v="27.679780886501899"/>
    <n v="55"/>
    <n v="884"/>
    <n v="2390.8078665561702"/>
    <s v="Unknown"/>
    <x v="21"/>
    <n v="1"/>
    <n v="63"/>
    <n v="10"/>
    <s v="Carrier A"/>
    <n v="9.5676489209230393"/>
    <x v="3"/>
    <s v="Kolkata"/>
    <n v="22"/>
    <n v="780"/>
    <n v="28"/>
    <n v="50.120839612977299"/>
    <s v="Fail"/>
    <n v="2.5912754732111098"/>
    <x v="2"/>
    <s v="Route C"/>
    <n v="205.57199582694699"/>
  </r>
  <r>
    <x v="2"/>
    <s v="SKU23"/>
    <n v="4.3243411858641601"/>
    <n v="30"/>
    <n v="391"/>
    <n v="8858.3675710114803"/>
    <s v="Unknown"/>
    <x v="22"/>
    <n v="5"/>
    <n v="29"/>
    <n v="7"/>
    <s v="Carrier A"/>
    <n v="2.92485760114555"/>
    <x v="2"/>
    <s v="Kolkata"/>
    <n v="11"/>
    <n v="568"/>
    <n v="29"/>
    <n v="98.6099572427038"/>
    <s v="Pending"/>
    <n v="1.3422915627227301"/>
    <x v="2"/>
    <s v="Route A"/>
    <n v="196.329446112412"/>
  </r>
  <r>
    <x v="0"/>
    <s v="SKU24"/>
    <n v="4.1563083593111001"/>
    <n v="32"/>
    <n v="209"/>
    <n v="9049.0778609398894"/>
    <s v="Male"/>
    <x v="23"/>
    <n v="26"/>
    <n v="2"/>
    <n v="8"/>
    <s v="Carrier C"/>
    <n v="9.7412916892843597"/>
    <x v="4"/>
    <s v="Bangalore"/>
    <n v="28"/>
    <n v="447"/>
    <n v="3"/>
    <n v="40.382359702924802"/>
    <s v="Pending"/>
    <n v="3.69131029262872"/>
    <x v="1"/>
    <s v="Route A"/>
    <n v="758.72477260293795"/>
  </r>
  <r>
    <x v="0"/>
    <s v="SKU25"/>
    <n v="39.629343985092603"/>
    <n v="73"/>
    <n v="142"/>
    <n v="2174.7770543506499"/>
    <s v="Male"/>
    <x v="24"/>
    <n v="11"/>
    <n v="52"/>
    <n v="3"/>
    <s v="Carrier C"/>
    <n v="2.2310736812817198"/>
    <x v="3"/>
    <s v="Kolkata"/>
    <n v="19"/>
    <n v="934"/>
    <n v="23"/>
    <n v="78.280383118415301"/>
    <s v="Pending"/>
    <n v="3.79723121711418"/>
    <x v="0"/>
    <s v="Route B"/>
    <n v="458.53594573920901"/>
  </r>
  <r>
    <x v="0"/>
    <s v="SKU26"/>
    <n v="97.446946617892806"/>
    <n v="9"/>
    <n v="353"/>
    <n v="3716.49332589403"/>
    <s v="Male"/>
    <x v="25"/>
    <n v="16"/>
    <n v="48"/>
    <n v="4"/>
    <s v="Carrier B"/>
    <n v="6.5075486210785503"/>
    <x v="4"/>
    <s v="Bangalore"/>
    <n v="26"/>
    <n v="171"/>
    <n v="4"/>
    <n v="15.972229757181699"/>
    <s v="Pass"/>
    <n v="2.1193197367249201"/>
    <x v="2"/>
    <s v="Route A"/>
    <n v="617.86691645837698"/>
  </r>
  <r>
    <x v="2"/>
    <s v="SKU27"/>
    <n v="92.557360812401996"/>
    <n v="42"/>
    <n v="352"/>
    <n v="2686.4572235759802"/>
    <s v="Unknown"/>
    <x v="26"/>
    <n v="9"/>
    <n v="62"/>
    <n v="8"/>
    <s v="Carrier C"/>
    <n v="7.4067509529980704"/>
    <x v="2"/>
    <s v="Mumbai"/>
    <n v="25"/>
    <n v="291"/>
    <n v="4"/>
    <n v="10.5282450700421"/>
    <s v="Fail"/>
    <n v="2.8646678378833701"/>
    <x v="3"/>
    <s v="Route B"/>
    <n v="762.45918215568304"/>
  </r>
  <r>
    <x v="2"/>
    <s v="SKU28"/>
    <n v="2.3972747055971402"/>
    <n v="12"/>
    <n v="394"/>
    <n v="6117.3246150839896"/>
    <s v="Female"/>
    <x v="18"/>
    <n v="15"/>
    <n v="24"/>
    <n v="4"/>
    <s v="Carrier B"/>
    <n v="9.8981405080692202"/>
    <x v="1"/>
    <s v="Mumbai"/>
    <n v="13"/>
    <n v="171"/>
    <n v="7"/>
    <n v="59.429381810691503"/>
    <s v="Fail"/>
    <n v="0.81575707929567198"/>
    <x v="1"/>
    <s v="Route A"/>
    <n v="123.437027511827"/>
  </r>
  <r>
    <x v="2"/>
    <s v="SKU29"/>
    <n v="63.447559185207297"/>
    <n v="3"/>
    <n v="253"/>
    <n v="8318.9031946171708"/>
    <s v="Female"/>
    <x v="16"/>
    <n v="5"/>
    <n v="67"/>
    <n v="7"/>
    <s v="Carrier B"/>
    <n v="8.1009731453970293"/>
    <x v="1"/>
    <s v="Kolkata"/>
    <n v="16"/>
    <n v="329"/>
    <n v="7"/>
    <n v="39.292875586065698"/>
    <s v="Pass"/>
    <n v="3.8780989365884802"/>
    <x v="0"/>
    <s v="Route B"/>
    <n v="764.93537594070801"/>
  </r>
  <r>
    <x v="0"/>
    <s v="SKU30"/>
    <n v="8.0228592105263896"/>
    <n v="10"/>
    <n v="327"/>
    <n v="2766.3423668660798"/>
    <s v="Male"/>
    <x v="27"/>
    <n v="26"/>
    <n v="35"/>
    <n v="7"/>
    <s v="Carrier B"/>
    <n v="8.9545283153180097"/>
    <x v="3"/>
    <s v="Kolkata"/>
    <n v="27"/>
    <n v="806"/>
    <n v="30"/>
    <n v="51.634893400109299"/>
    <s v="Pending"/>
    <n v="0.96539470535239302"/>
    <x v="0"/>
    <s v="Route C"/>
    <n v="880.08098824716103"/>
  </r>
  <r>
    <x v="1"/>
    <s v="SKU31"/>
    <n v="50.847393051718697"/>
    <n v="28"/>
    <n v="168"/>
    <n v="9655.1351027193905"/>
    <s v="Male"/>
    <x v="28"/>
    <n v="17"/>
    <n v="44"/>
    <n v="4"/>
    <s v="Carrier B"/>
    <n v="2.6796609649813998"/>
    <x v="0"/>
    <s v="Chennai"/>
    <n v="24"/>
    <n v="461"/>
    <n v="8"/>
    <n v="60.251145661598002"/>
    <s v="Pending"/>
    <n v="2.9890000066550702"/>
    <x v="2"/>
    <s v="Route C"/>
    <n v="609.379206618426"/>
  </r>
  <r>
    <x v="1"/>
    <s v="SKU32"/>
    <n v="79.209936015656695"/>
    <n v="43"/>
    <n v="781"/>
    <n v="9571.5504873278096"/>
    <s v="Unknown"/>
    <x v="29"/>
    <n v="13"/>
    <n v="64"/>
    <n v="4"/>
    <s v="Carrier C"/>
    <n v="6.5991049012385803"/>
    <x v="0"/>
    <s v="Kolkata"/>
    <n v="30"/>
    <n v="737"/>
    <n v="7"/>
    <n v="29.6924671537497"/>
    <s v="Pass"/>
    <n v="1.94603611938611"/>
    <x v="0"/>
    <s v="Route A"/>
    <n v="761.17390951487698"/>
  </r>
  <r>
    <x v="2"/>
    <s v="SKU33"/>
    <n v="64.795435000155607"/>
    <n v="63"/>
    <n v="616"/>
    <n v="5149.9983504080301"/>
    <s v="Non-binary"/>
    <x v="23"/>
    <n v="17"/>
    <n v="95"/>
    <n v="9"/>
    <s v="Carrier C"/>
    <n v="4.85827050343664"/>
    <x v="2"/>
    <s v="Chennai"/>
    <n v="1"/>
    <n v="251"/>
    <n v="23"/>
    <n v="23.853427512896101"/>
    <s v="Fail"/>
    <n v="3.54104601225092"/>
    <x v="3"/>
    <s v="Route A"/>
    <n v="371.25529551987103"/>
  </r>
  <r>
    <x v="1"/>
    <s v="SKU34"/>
    <n v="37.467592329842397"/>
    <n v="96"/>
    <n v="602"/>
    <n v="9061.7108955077201"/>
    <s v="Unknown"/>
    <x v="2"/>
    <n v="26"/>
    <n v="21"/>
    <n v="7"/>
    <s v="Carrier A"/>
    <n v="1.0194875708221101"/>
    <x v="1"/>
    <s v="Chennai"/>
    <n v="4"/>
    <n v="452"/>
    <n v="10"/>
    <n v="10.754272815029299"/>
    <s v="Pass"/>
    <n v="0.64660455937205397"/>
    <x v="0"/>
    <s v="Route B"/>
    <n v="510.35800043352299"/>
  </r>
  <r>
    <x v="2"/>
    <s v="SKU35"/>
    <n v="84.957786816350406"/>
    <n v="11"/>
    <n v="449"/>
    <n v="6541.3293448024597"/>
    <s v="Female"/>
    <x v="30"/>
    <n v="27"/>
    <n v="85"/>
    <n v="8"/>
    <s v="Carrier C"/>
    <n v="5.2881899903273997"/>
    <x v="1"/>
    <s v="Delhi"/>
    <n v="3"/>
    <n v="367"/>
    <n v="2"/>
    <n v="58.004787044743701"/>
    <s v="Pass"/>
    <n v="0.54115409806058101"/>
    <x v="3"/>
    <s v="Route C"/>
    <n v="553.42047123035502"/>
  </r>
  <r>
    <x v="1"/>
    <s v="SKU36"/>
    <n v="9.81300257875405"/>
    <n v="34"/>
    <n v="963"/>
    <n v="7573.4024578487297"/>
    <s v="Female"/>
    <x v="31"/>
    <n v="23"/>
    <n v="28"/>
    <n v="3"/>
    <s v="Carrier B"/>
    <n v="2.1079512671590801"/>
    <x v="4"/>
    <s v="Delhi"/>
    <n v="26"/>
    <n v="671"/>
    <n v="19"/>
    <n v="45.531364237162101"/>
    <s v="Fail"/>
    <n v="3.8055333792433501"/>
    <x v="1"/>
    <s v="Route C"/>
    <n v="403.80897424817999"/>
  </r>
  <r>
    <x v="1"/>
    <s v="SKU37"/>
    <n v="23.3998447526143"/>
    <n v="5"/>
    <n v="963"/>
    <n v="2438.3399304700201"/>
    <s v="Female"/>
    <x v="32"/>
    <n v="8"/>
    <n v="21"/>
    <n v="9"/>
    <s v="Carrier A"/>
    <n v="1.53265527359043"/>
    <x v="0"/>
    <s v="Kolkata"/>
    <n v="24"/>
    <n v="867"/>
    <n v="15"/>
    <n v="34.343277465075303"/>
    <s v="Pending"/>
    <n v="2.61028808484811"/>
    <x v="3"/>
    <s v="Route A"/>
    <n v="183.932968043594"/>
  </r>
  <r>
    <x v="2"/>
    <s v="SKU38"/>
    <n v="52.075930682707799"/>
    <n v="75"/>
    <n v="705"/>
    <n v="9692.3180402184298"/>
    <s v="Non-binary"/>
    <x v="20"/>
    <n v="1"/>
    <n v="88"/>
    <n v="5"/>
    <s v="Carrier B"/>
    <n v="9.2359314372492207"/>
    <x v="2"/>
    <s v="Mumbai"/>
    <n v="10"/>
    <n v="841"/>
    <n v="12"/>
    <n v="5.9306936455283097"/>
    <s v="Pending"/>
    <n v="0.613326899164507"/>
    <x v="1"/>
    <s v="Route B"/>
    <n v="339.67286994860598"/>
  </r>
  <r>
    <x v="1"/>
    <s v="SKU39"/>
    <n v="19.127477265823199"/>
    <n v="26"/>
    <n v="176"/>
    <n v="1912.4656631007599"/>
    <s v="Female"/>
    <x v="33"/>
    <n v="29"/>
    <n v="34"/>
    <n v="3"/>
    <s v="Carrier A"/>
    <n v="5.5625037788303802"/>
    <x v="4"/>
    <s v="Kolkata"/>
    <n v="30"/>
    <n v="791"/>
    <n v="6"/>
    <n v="9.0058074287816403"/>
    <s v="Fail"/>
    <n v="1.4519722039968099"/>
    <x v="1"/>
    <s v="Route B"/>
    <n v="653.67299455203295"/>
  </r>
  <r>
    <x v="1"/>
    <s v="SKU40"/>
    <n v="80.541424170940303"/>
    <n v="97"/>
    <n v="933"/>
    <n v="5724.9593504562599"/>
    <s v="Female"/>
    <x v="5"/>
    <n v="20"/>
    <n v="39"/>
    <n v="8"/>
    <s v="Carrier C"/>
    <n v="7.2295951397364702"/>
    <x v="1"/>
    <s v="Kolkata"/>
    <n v="18"/>
    <n v="793"/>
    <n v="1"/>
    <n v="88.179407104217404"/>
    <s v="Pending"/>
    <n v="4.2132694305865597"/>
    <x v="0"/>
    <s v="Route A"/>
    <n v="529.80872398069096"/>
  </r>
  <r>
    <x v="1"/>
    <s v="SKU41"/>
    <n v="99.113291615317095"/>
    <n v="35"/>
    <n v="556"/>
    <n v="5521.2052590109697"/>
    <s v="Female"/>
    <x v="34"/>
    <n v="19"/>
    <n v="38"/>
    <n v="8"/>
    <s v="Carrier B"/>
    <n v="5.7732637437666501"/>
    <x v="3"/>
    <s v="Chennai"/>
    <n v="18"/>
    <n v="892"/>
    <n v="7"/>
    <n v="95.332064548772493"/>
    <s v="Fail"/>
    <n v="4.5302262398259602E-2"/>
    <x v="3"/>
    <s v="Route A"/>
    <n v="275.52437113130901"/>
  </r>
  <r>
    <x v="1"/>
    <s v="SKU42"/>
    <n v="46.529167614516702"/>
    <n v="98"/>
    <n v="155"/>
    <n v="1839.60942585676"/>
    <s v="Female"/>
    <x v="35"/>
    <n v="27"/>
    <n v="57"/>
    <n v="4"/>
    <s v="Carrier C"/>
    <n v="7.5262483268515004"/>
    <x v="2"/>
    <s v="Bangalore"/>
    <n v="26"/>
    <n v="179"/>
    <n v="7"/>
    <n v="96.422820639571796"/>
    <s v="Fail"/>
    <n v="4.9392552886209398"/>
    <x v="0"/>
    <s v="Route A"/>
    <n v="635.65712050199102"/>
  </r>
  <r>
    <x v="0"/>
    <s v="SKU43"/>
    <n v="11.7432717763092"/>
    <n v="6"/>
    <n v="598"/>
    <n v="5737.4255991190203"/>
    <s v="Unknown"/>
    <x v="36"/>
    <n v="29"/>
    <n v="85"/>
    <n v="9"/>
    <s v="Carrier B"/>
    <n v="3.6940212683884499"/>
    <x v="2"/>
    <s v="Mumbai"/>
    <n v="1"/>
    <n v="206"/>
    <n v="23"/>
    <n v="26.2773659573324"/>
    <s v="Pending"/>
    <n v="0.37230476798509698"/>
    <x v="1"/>
    <s v="Route A"/>
    <n v="716.04411975933999"/>
  </r>
  <r>
    <x v="2"/>
    <s v="SKU44"/>
    <n v="51.355790913110297"/>
    <n v="34"/>
    <n v="919"/>
    <n v="7152.28604943551"/>
    <s v="Female"/>
    <x v="37"/>
    <n v="19"/>
    <n v="72"/>
    <n v="6"/>
    <s v="Carrier C"/>
    <n v="7.5774496573766896"/>
    <x v="4"/>
    <s v="Delhi"/>
    <n v="7"/>
    <n v="834"/>
    <n v="18"/>
    <n v="22.554106620887701"/>
    <s v="Fail"/>
    <n v="2.9626263204548802"/>
    <x v="2"/>
    <s v="Route A"/>
    <n v="610.45326961922694"/>
  </r>
  <r>
    <x v="0"/>
    <s v="SKU45"/>
    <n v="33.784138033065503"/>
    <n v="1"/>
    <n v="24"/>
    <n v="5267.9568075105199"/>
    <s v="Male"/>
    <x v="7"/>
    <n v="7"/>
    <n v="52"/>
    <n v="6"/>
    <s v="Carrier B"/>
    <n v="5.2151550087119096"/>
    <x v="4"/>
    <s v="Chennai"/>
    <n v="25"/>
    <n v="794"/>
    <n v="25"/>
    <n v="66.312544439991598"/>
    <s v="Pass"/>
    <n v="3.2196046120841002"/>
    <x v="2"/>
    <s v="Route A"/>
    <n v="495.30569702847299"/>
  </r>
  <r>
    <x v="0"/>
    <s v="SKU46"/>
    <n v="27.082207199888899"/>
    <n v="75"/>
    <n v="859"/>
    <n v="2556.7673606335902"/>
    <s v="Non-binary"/>
    <x v="38"/>
    <n v="29"/>
    <n v="6"/>
    <n v="8"/>
    <s v="Carrier B"/>
    <n v="4.0709558370840799"/>
    <x v="0"/>
    <s v="Chennai"/>
    <n v="18"/>
    <n v="870"/>
    <n v="23"/>
    <n v="77.322353211051606"/>
    <s v="Pending"/>
    <n v="3.6486105925361998"/>
    <x v="0"/>
    <s v="Route B"/>
    <n v="380.43593711196399"/>
  </r>
  <r>
    <x v="1"/>
    <s v="SKU47"/>
    <n v="95.712135880936003"/>
    <n v="93"/>
    <n v="910"/>
    <n v="7089.4742499341801"/>
    <s v="Male"/>
    <x v="23"/>
    <n v="15"/>
    <n v="51"/>
    <n v="9"/>
    <s v="Carrier B"/>
    <n v="8.9787507559499709"/>
    <x v="1"/>
    <s v="Kolkata"/>
    <n v="10"/>
    <n v="964"/>
    <n v="20"/>
    <n v="19.7129929112936"/>
    <s v="Pending"/>
    <n v="0.38057358671321301"/>
    <x v="2"/>
    <s v="Route A"/>
    <n v="581.60235505058597"/>
  </r>
  <r>
    <x v="0"/>
    <s v="SKU48"/>
    <n v="76.035544426891704"/>
    <n v="28"/>
    <n v="29"/>
    <n v="7397.0710045871801"/>
    <s v="Non-binary"/>
    <x v="39"/>
    <n v="16"/>
    <n v="9"/>
    <n v="3"/>
    <s v="Carrier C"/>
    <n v="7.0958331565551296"/>
    <x v="4"/>
    <s v="Mumbai"/>
    <n v="9"/>
    <n v="109"/>
    <n v="18"/>
    <n v="23.126363582464698"/>
    <s v="Fail"/>
    <n v="1.6981125407144"/>
    <x v="2"/>
    <s v="Route B"/>
    <n v="768.65191395437"/>
  </r>
  <r>
    <x v="2"/>
    <s v="SKU49"/>
    <n v="78.897913205639995"/>
    <n v="19"/>
    <n v="99"/>
    <n v="8001.6132065190004"/>
    <s v="Unknown"/>
    <x v="40"/>
    <n v="24"/>
    <n v="9"/>
    <n v="6"/>
    <s v="Carrier C"/>
    <n v="2.5056210329009101"/>
    <x v="2"/>
    <s v="Delhi"/>
    <n v="28"/>
    <n v="177"/>
    <n v="28"/>
    <n v="14.1478154439792"/>
    <s v="Pass"/>
    <n v="2.8258139854001301"/>
    <x v="2"/>
    <s v="Route A"/>
    <n v="336.89016851997701"/>
  </r>
  <r>
    <x v="2"/>
    <s v="SKU50"/>
    <n v="14.203484264803"/>
    <n v="91"/>
    <n v="633"/>
    <n v="5910.8853896688897"/>
    <s v="Female"/>
    <x v="41"/>
    <n v="23"/>
    <n v="82"/>
    <n v="10"/>
    <s v="Carrier A"/>
    <n v="6.2478609149759903"/>
    <x v="4"/>
    <s v="Delhi"/>
    <n v="20"/>
    <n v="306"/>
    <n v="21"/>
    <n v="45.178757924634503"/>
    <s v="Fail"/>
    <n v="4.7548008046711798"/>
    <x v="2"/>
    <s v="Route B"/>
    <n v="496.24865029194001"/>
  </r>
  <r>
    <x v="0"/>
    <s v="SKU51"/>
    <n v="26.700760972461701"/>
    <n v="61"/>
    <n v="154"/>
    <n v="9866.4654579796897"/>
    <s v="Male"/>
    <x v="11"/>
    <n v="4"/>
    <n v="52"/>
    <n v="1"/>
    <s v="Carrier A"/>
    <n v="4.78300055794766"/>
    <x v="2"/>
    <s v="Bangalore"/>
    <n v="18"/>
    <n v="673"/>
    <n v="28"/>
    <n v="14.190328344569901"/>
    <s v="Pending"/>
    <n v="1.77295117208355"/>
    <x v="0"/>
    <s v="Route A"/>
    <n v="694.98231757944495"/>
  </r>
  <r>
    <x v="1"/>
    <s v="SKU52"/>
    <n v="98.031829656465007"/>
    <n v="1"/>
    <n v="820"/>
    <n v="9435.7626089121295"/>
    <s v="Male"/>
    <x v="34"/>
    <n v="11"/>
    <n v="11"/>
    <n v="1"/>
    <s v="Carrier B"/>
    <n v="8.6310521797689397"/>
    <x v="1"/>
    <s v="Mumbai"/>
    <n v="10"/>
    <n v="727"/>
    <n v="27"/>
    <n v="9.1668491485971497"/>
    <s v="Pending"/>
    <n v="2.1224716191438202"/>
    <x v="1"/>
    <s v="Route C"/>
    <n v="602.89849883838303"/>
  </r>
  <r>
    <x v="1"/>
    <s v="SKU53"/>
    <n v="30.3414707112142"/>
    <n v="93"/>
    <n v="242"/>
    <n v="8232.3348294258194"/>
    <s v="Male"/>
    <x v="42"/>
    <n v="25"/>
    <n v="54"/>
    <n v="3"/>
    <s v="Carrier B"/>
    <n v="1.0134865660958901"/>
    <x v="1"/>
    <s v="Delhi"/>
    <n v="1"/>
    <n v="631"/>
    <n v="17"/>
    <n v="83.344058991677898"/>
    <s v="Pending"/>
    <n v="1.41034757607602"/>
    <x v="1"/>
    <s v="Route B"/>
    <n v="750.73784066827"/>
  </r>
  <r>
    <x v="0"/>
    <s v="SKU54"/>
    <n v="31.1462431602408"/>
    <n v="11"/>
    <n v="622"/>
    <n v="6088.0214799408504"/>
    <s v="Non-binary"/>
    <x v="43"/>
    <n v="22"/>
    <n v="61"/>
    <n v="3"/>
    <s v="Carrier B"/>
    <n v="4.3051034712876302"/>
    <x v="1"/>
    <s v="Kolkata"/>
    <n v="26"/>
    <n v="497"/>
    <n v="29"/>
    <n v="30.186023375822501"/>
    <s v="Pass"/>
    <n v="2.4787719755397402"/>
    <x v="0"/>
    <s v="Route B"/>
    <n v="814.06999658218695"/>
  </r>
  <r>
    <x v="0"/>
    <s v="SKU55"/>
    <n v="79.855058340789398"/>
    <n v="16"/>
    <n v="701"/>
    <n v="2925.6751703038099"/>
    <s v="Male"/>
    <x v="40"/>
    <n v="11"/>
    <n v="11"/>
    <n v="5"/>
    <s v="Carrier A"/>
    <n v="5.0143649550309002"/>
    <x v="4"/>
    <s v="Delhi"/>
    <n v="27"/>
    <n v="918"/>
    <n v="5"/>
    <n v="30.323545256616502"/>
    <s v="Fail"/>
    <n v="4.5489196593963799"/>
    <x v="3"/>
    <s v="Route B"/>
    <n v="323.01292795247798"/>
  </r>
  <r>
    <x v="1"/>
    <s v="SKU56"/>
    <n v="20.9863860370433"/>
    <n v="90"/>
    <n v="93"/>
    <n v="4767.0204843441297"/>
    <s v="Non-binary"/>
    <x v="32"/>
    <n v="23"/>
    <n v="83"/>
    <n v="5"/>
    <s v="Carrier C"/>
    <n v="1.77442971407173"/>
    <x v="1"/>
    <s v="Mumbai"/>
    <n v="24"/>
    <n v="826"/>
    <n v="28"/>
    <n v="12.8362845728327"/>
    <s v="Pass"/>
    <n v="1.1737554953874501"/>
    <x v="1"/>
    <s v="Route B"/>
    <n v="832.210808706021"/>
  </r>
  <r>
    <x v="0"/>
    <s v="SKU57"/>
    <n v="49.263205350734097"/>
    <n v="65"/>
    <n v="227"/>
    <n v="1605.8669003924001"/>
    <s v="Unknown"/>
    <x v="4"/>
    <n v="18"/>
    <n v="51"/>
    <n v="1"/>
    <s v="Carrier B"/>
    <n v="9.1605585353818704"/>
    <x v="4"/>
    <s v="Delhi"/>
    <n v="21"/>
    <n v="588"/>
    <n v="25"/>
    <n v="67.779622987078099"/>
    <s v="Pending"/>
    <n v="2.5111748302126999"/>
    <x v="2"/>
    <s v="Route A"/>
    <n v="482.19123860252802"/>
  </r>
  <r>
    <x v="1"/>
    <s v="SKU58"/>
    <n v="59.841561377289302"/>
    <n v="81"/>
    <n v="896"/>
    <n v="2021.1498103371"/>
    <s v="Non-binary"/>
    <x v="17"/>
    <n v="5"/>
    <n v="44"/>
    <n v="7"/>
    <s v="Carrier A"/>
    <n v="4.9384385647120901"/>
    <x v="0"/>
    <s v="Delhi"/>
    <n v="18"/>
    <n v="396"/>
    <n v="7"/>
    <n v="65.047415094691402"/>
    <s v="Fail"/>
    <n v="1.7303747198591899"/>
    <x v="0"/>
    <s v="Route B"/>
    <n v="110.364335231364"/>
  </r>
  <r>
    <x v="2"/>
    <s v="SKU59"/>
    <n v="63.828398347710902"/>
    <n v="30"/>
    <n v="484"/>
    <n v="1061.6185230132801"/>
    <s v="Non-binary"/>
    <x v="11"/>
    <n v="16"/>
    <n v="26"/>
    <n v="7"/>
    <s v="Carrier B"/>
    <n v="7.2937225968677204"/>
    <x v="1"/>
    <s v="Kolkata"/>
    <n v="11"/>
    <n v="176"/>
    <n v="4"/>
    <n v="1.90076224351945"/>
    <s v="Fail"/>
    <n v="0.44719401546382298"/>
    <x v="1"/>
    <s v="Route A"/>
    <n v="312.57427361009297"/>
  </r>
  <r>
    <x v="1"/>
    <s v="SKU60"/>
    <n v="17.028027920188698"/>
    <n v="16"/>
    <n v="380"/>
    <n v="8864.0843495864301"/>
    <s v="Female"/>
    <x v="44"/>
    <n v="27"/>
    <n v="72"/>
    <n v="8"/>
    <s v="Carrier C"/>
    <n v="4.3813681581023101"/>
    <x v="3"/>
    <s v="Mumbai"/>
    <n v="29"/>
    <n v="929"/>
    <n v="24"/>
    <n v="87.213057815135599"/>
    <s v="Fail"/>
    <n v="2.8530906166490499"/>
    <x v="2"/>
    <s v="Route A"/>
    <n v="430.16909697513597"/>
  </r>
  <r>
    <x v="0"/>
    <s v="SKU61"/>
    <n v="52.028749903294901"/>
    <n v="23"/>
    <n v="117"/>
    <n v="6885.5893508962499"/>
    <s v="Unknown"/>
    <x v="45"/>
    <n v="23"/>
    <n v="36"/>
    <n v="7"/>
    <s v="Carrier C"/>
    <n v="9.0303404225219399"/>
    <x v="3"/>
    <s v="Kolkata"/>
    <n v="14"/>
    <n v="480"/>
    <n v="12"/>
    <n v="78.702393968878894"/>
    <s v="Fail"/>
    <n v="4.3674705382050503"/>
    <x v="1"/>
    <s v="Route A"/>
    <n v="164.366528243419"/>
  </r>
  <r>
    <x v="2"/>
    <s v="SKU62"/>
    <n v="72.796353955587307"/>
    <n v="89"/>
    <n v="270"/>
    <n v="3899.7468337292198"/>
    <s v="Unknown"/>
    <x v="46"/>
    <n v="2"/>
    <n v="40"/>
    <n v="7"/>
    <s v="Carrier C"/>
    <n v="7.2917013887767697"/>
    <x v="4"/>
    <s v="Mumbai"/>
    <n v="13"/>
    <n v="751"/>
    <n v="14"/>
    <n v="21.048642725168602"/>
    <s v="Pass"/>
    <n v="1.87400140404437"/>
    <x v="3"/>
    <s v="Route C"/>
    <n v="320.84651575911101"/>
  </r>
  <r>
    <x v="1"/>
    <s v="SKU63"/>
    <n v="13.0173767852878"/>
    <n v="55"/>
    <n v="246"/>
    <n v="4256.9491408502199"/>
    <s v="Non-binary"/>
    <x v="13"/>
    <n v="19"/>
    <n v="10"/>
    <n v="4"/>
    <s v="Carrier A"/>
    <n v="2.45793352798733"/>
    <x v="0"/>
    <s v="Bangalore"/>
    <n v="18"/>
    <n v="736"/>
    <n v="10"/>
    <n v="20.075003975630398"/>
    <s v="Pending"/>
    <n v="3.6328432903821302"/>
    <x v="3"/>
    <s v="Route A"/>
    <n v="687.28617786641701"/>
  </r>
  <r>
    <x v="1"/>
    <s v="SKU64"/>
    <n v="89.634095608135297"/>
    <n v="11"/>
    <n v="134"/>
    <n v="8458.7308783671706"/>
    <s v="Female"/>
    <x v="47"/>
    <n v="27"/>
    <n v="75"/>
    <n v="6"/>
    <s v="Carrier C"/>
    <n v="4.5853534681946497"/>
    <x v="1"/>
    <s v="Delhi"/>
    <n v="17"/>
    <n v="328"/>
    <n v="6"/>
    <n v="8.6930424258772803"/>
    <s v="Fail"/>
    <n v="0.15948631471751401"/>
    <x v="1"/>
    <s v="Route C"/>
    <n v="771.225084681157"/>
  </r>
  <r>
    <x v="1"/>
    <s v="SKU65"/>
    <n v="33.697717206643098"/>
    <n v="72"/>
    <n v="457"/>
    <n v="8354.5796864819895"/>
    <s v="Male"/>
    <x v="48"/>
    <n v="24"/>
    <n v="54"/>
    <n v="8"/>
    <s v="Carrier C"/>
    <n v="6.5805413478845898"/>
    <x v="2"/>
    <s v="Kolkata"/>
    <n v="16"/>
    <n v="358"/>
    <n v="21"/>
    <n v="1.59722274305067"/>
    <s v="Fail"/>
    <n v="4.9110959548423301"/>
    <x v="2"/>
    <s v="Route C"/>
    <n v="555.85910367174301"/>
  </r>
  <r>
    <x v="1"/>
    <s v="SKU66"/>
    <n v="26.034869773962001"/>
    <n v="52"/>
    <n v="704"/>
    <n v="8367.7216180201503"/>
    <s v="Female"/>
    <x v="37"/>
    <n v="17"/>
    <n v="19"/>
    <n v="8"/>
    <s v="Carrier A"/>
    <n v="2.2161427287713602"/>
    <x v="2"/>
    <s v="Kolkata"/>
    <n v="24"/>
    <n v="867"/>
    <n v="28"/>
    <n v="42.084436738309897"/>
    <s v="Fail"/>
    <n v="3.44806328834026"/>
    <x v="0"/>
    <s v="Route A"/>
    <n v="393.84334857842703"/>
  </r>
  <r>
    <x v="1"/>
    <s v="SKU67"/>
    <n v="87.755432354001002"/>
    <n v="16"/>
    <n v="513"/>
    <n v="9473.7980325083299"/>
    <s v="Unknown"/>
    <x v="49"/>
    <n v="9"/>
    <n v="71"/>
    <n v="9"/>
    <s v="Carrier C"/>
    <n v="9.1478115447106294"/>
    <x v="1"/>
    <s v="Mumbai"/>
    <n v="10"/>
    <n v="198"/>
    <n v="11"/>
    <n v="7.0578761469782298"/>
    <s v="Pass"/>
    <n v="0.131955444311814"/>
    <x v="3"/>
    <s v="Route C"/>
    <n v="169.27180138478599"/>
  </r>
  <r>
    <x v="0"/>
    <s v="SKU68"/>
    <n v="37.931812382790298"/>
    <n v="29"/>
    <n v="163"/>
    <n v="3550.21843278099"/>
    <s v="Non-binary"/>
    <x v="50"/>
    <n v="8"/>
    <n v="58"/>
    <n v="8"/>
    <s v="Carrier B"/>
    <n v="1.19425186488499"/>
    <x v="4"/>
    <s v="Bangalore"/>
    <n v="2"/>
    <n v="375"/>
    <n v="18"/>
    <n v="97.113581563462205"/>
    <s v="Fail"/>
    <n v="1.9834678721741801"/>
    <x v="2"/>
    <s v="Route A"/>
    <n v="299.70630311810299"/>
  </r>
  <r>
    <x v="1"/>
    <s v="SKU69"/>
    <n v="54.865528517069698"/>
    <n v="62"/>
    <n v="511"/>
    <n v="1752.3810874841199"/>
    <s v="Non-binary"/>
    <x v="51"/>
    <n v="1"/>
    <n v="27"/>
    <n v="3"/>
    <s v="Carrier B"/>
    <n v="9.7052867901203399"/>
    <x v="3"/>
    <s v="Kolkata"/>
    <n v="9"/>
    <n v="862"/>
    <n v="7"/>
    <n v="77.627765812748095"/>
    <s v="Pending"/>
    <n v="1.3623879886490999"/>
    <x v="1"/>
    <s v="Route A"/>
    <n v="207.66320620857499"/>
  </r>
  <r>
    <x v="0"/>
    <s v="SKU70"/>
    <n v="47.914541824058702"/>
    <n v="90"/>
    <n v="32"/>
    <n v="7014.8879872033804"/>
    <s v="Female"/>
    <x v="17"/>
    <n v="12"/>
    <n v="22"/>
    <n v="4"/>
    <s v="Carrier B"/>
    <n v="6.3157177546007199"/>
    <x v="1"/>
    <s v="Bangalore"/>
    <n v="22"/>
    <n v="775"/>
    <n v="16"/>
    <n v="11.440781823761199"/>
    <s v="Pass"/>
    <n v="1.8305755986122301"/>
    <x v="0"/>
    <s v="Route C"/>
    <n v="183.27289874871099"/>
  </r>
  <r>
    <x v="2"/>
    <s v="SKU71"/>
    <n v="6.3815331627479601"/>
    <n v="14"/>
    <n v="637"/>
    <n v="8180.3370854254399"/>
    <s v="Female"/>
    <x v="52"/>
    <n v="2"/>
    <n v="26"/>
    <n v="6"/>
    <s v="Carrier A"/>
    <n v="9.2281903170525101"/>
    <x v="4"/>
    <s v="Bangalore"/>
    <n v="2"/>
    <n v="258"/>
    <n v="10"/>
    <n v="30.661677477859499"/>
    <s v="Pending"/>
    <n v="2.07875060787496"/>
    <x v="0"/>
    <s v="Route A"/>
    <n v="405.167067888855"/>
  </r>
  <r>
    <x v="2"/>
    <s v="SKU72"/>
    <n v="90.204427520528"/>
    <n v="88"/>
    <n v="478"/>
    <n v="2633.1219813122498"/>
    <s v="Non-binary"/>
    <x v="48"/>
    <n v="29"/>
    <n v="77"/>
    <n v="9"/>
    <s v="Carrier A"/>
    <n v="6.5996141596895397"/>
    <x v="1"/>
    <s v="Bangalore"/>
    <n v="21"/>
    <n v="152"/>
    <n v="11"/>
    <n v="55.760492895244198"/>
    <s v="Pending"/>
    <n v="3.2133296074383"/>
    <x v="2"/>
    <s v="Route B"/>
    <n v="677.94456984618296"/>
  </r>
  <r>
    <x v="2"/>
    <s v="SKU73"/>
    <n v="83.851017681304597"/>
    <n v="41"/>
    <n v="375"/>
    <n v="7910.8869161406801"/>
    <s v="Male"/>
    <x v="53"/>
    <n v="25"/>
    <n v="66"/>
    <n v="5"/>
    <s v="Carrier B"/>
    <n v="1.5129368369160701"/>
    <x v="3"/>
    <s v="Chennai"/>
    <n v="13"/>
    <n v="444"/>
    <n v="4"/>
    <n v="46.870238797617098"/>
    <s v="Fail"/>
    <n v="4.6205460645137002"/>
    <x v="0"/>
    <s v="Route A"/>
    <n v="866.472800129657"/>
  </r>
  <r>
    <x v="0"/>
    <s v="SKU74"/>
    <n v="3.1700114135661499"/>
    <n v="64"/>
    <n v="904"/>
    <n v="5709.9452959692799"/>
    <s v="Female"/>
    <x v="44"/>
    <n v="6"/>
    <n v="1"/>
    <n v="5"/>
    <s v="Carrier A"/>
    <n v="5.2376546500374399"/>
    <x v="3"/>
    <s v="Delhi"/>
    <n v="1"/>
    <n v="919"/>
    <n v="9"/>
    <n v="80.580852156447804"/>
    <s v="Fail"/>
    <n v="0.39661272410993498"/>
    <x v="2"/>
    <s v="Route A"/>
    <n v="341.55265678322297"/>
  </r>
  <r>
    <x v="1"/>
    <s v="SKU75"/>
    <n v="92.996884233970604"/>
    <n v="29"/>
    <n v="106"/>
    <n v="1889.07358977933"/>
    <s v="Non-binary"/>
    <x v="54"/>
    <n v="20"/>
    <n v="56"/>
    <n v="10"/>
    <s v="Carrier C"/>
    <n v="2.47389776104546"/>
    <x v="1"/>
    <s v="Chennai"/>
    <n v="25"/>
    <n v="759"/>
    <n v="11"/>
    <n v="48.064782640006499"/>
    <s v="Pass"/>
    <n v="2.0300690886687498"/>
    <x v="1"/>
    <s v="Route C"/>
    <n v="873.12964801765099"/>
  </r>
  <r>
    <x v="0"/>
    <s v="SKU76"/>
    <n v="69.108799547430294"/>
    <n v="23"/>
    <n v="241"/>
    <n v="5328.3759842977497"/>
    <s v="Male"/>
    <x v="55"/>
    <n v="1"/>
    <n v="22"/>
    <n v="10"/>
    <s v="Carrier A"/>
    <n v="7.0545383368369201"/>
    <x v="4"/>
    <s v="Bangalore"/>
    <n v="25"/>
    <n v="985"/>
    <n v="24"/>
    <n v="64.323597795600193"/>
    <s v="Pending"/>
    <n v="2.1800374515822099"/>
    <x v="2"/>
    <s v="Route A"/>
    <n v="997.41345013319403"/>
  </r>
  <r>
    <x v="0"/>
    <s v="SKU77"/>
    <n v="57.449742958971399"/>
    <n v="14"/>
    <n v="359"/>
    <n v="2483.7601775427902"/>
    <s v="Unknown"/>
    <x v="42"/>
    <n v="28"/>
    <n v="57"/>
    <n v="4"/>
    <s v="Carrier B"/>
    <n v="6.7809466256178901"/>
    <x v="1"/>
    <s v="Kolkata"/>
    <n v="26"/>
    <n v="334"/>
    <n v="5"/>
    <n v="42.952444748991802"/>
    <s v="Pass"/>
    <n v="3.0551418183075398"/>
    <x v="0"/>
    <s v="Route B"/>
    <n v="852.56809891984994"/>
  </r>
  <r>
    <x v="0"/>
    <s v="SKU78"/>
    <n v="6.30688317611191"/>
    <n v="50"/>
    <n v="946"/>
    <n v="1292.45841793775"/>
    <s v="Unknown"/>
    <x v="4"/>
    <n v="4"/>
    <n v="51"/>
    <n v="5"/>
    <s v="Carrier B"/>
    <n v="8.4670497708619905"/>
    <x v="2"/>
    <s v="Mumbai"/>
    <n v="25"/>
    <n v="858"/>
    <n v="21"/>
    <n v="71.126514720403307"/>
    <s v="Pending"/>
    <n v="4.0968813324704501"/>
    <x v="3"/>
    <s v="Route C"/>
    <n v="323.59220343132199"/>
  </r>
  <r>
    <x v="0"/>
    <s v="SKU79"/>
    <n v="57.057031221103202"/>
    <n v="56"/>
    <n v="198"/>
    <n v="7888.7232684270803"/>
    <s v="Non-binary"/>
    <x v="41"/>
    <n v="25"/>
    <n v="20"/>
    <n v="1"/>
    <s v="Carrier B"/>
    <n v="6.49632536429504"/>
    <x v="0"/>
    <s v="Bangalore"/>
    <n v="5"/>
    <n v="228"/>
    <n v="12"/>
    <n v="57.870902924036201"/>
    <s v="Pending"/>
    <n v="0.16587162748060799"/>
    <x v="1"/>
    <s v="Route C"/>
    <n v="351.50421933503799"/>
  </r>
  <r>
    <x v="1"/>
    <s v="SKU80"/>
    <n v="91.128318350444303"/>
    <n v="75"/>
    <n v="872"/>
    <n v="8651.67268298206"/>
    <s v="Unknown"/>
    <x v="56"/>
    <n v="14"/>
    <n v="41"/>
    <n v="2"/>
    <s v="Carrier C"/>
    <n v="2.8331846794189701"/>
    <x v="0"/>
    <s v="Chennai"/>
    <n v="8"/>
    <n v="202"/>
    <n v="5"/>
    <n v="76.961228023819999"/>
    <s v="Fail"/>
    <n v="2.8496621985053299"/>
    <x v="3"/>
    <s v="Route B"/>
    <n v="787.77985049434403"/>
  </r>
  <r>
    <x v="0"/>
    <s v="SKU81"/>
    <n v="72.819206930318202"/>
    <n v="9"/>
    <n v="774"/>
    <n v="4384.4134000458598"/>
    <s v="Unknown"/>
    <x v="18"/>
    <n v="6"/>
    <n v="8"/>
    <n v="5"/>
    <s v="Carrier B"/>
    <n v="4.0662775015120403"/>
    <x v="0"/>
    <s v="Delhi"/>
    <n v="28"/>
    <n v="698"/>
    <n v="1"/>
    <n v="19.789592941903599"/>
    <s v="Pending"/>
    <n v="2.54754712154871"/>
    <x v="2"/>
    <s v="Route B"/>
    <n v="276.77833594679799"/>
  </r>
  <r>
    <x v="1"/>
    <s v="SKU82"/>
    <n v="17.034930739467899"/>
    <n v="13"/>
    <n v="336"/>
    <n v="2943.3818676094502"/>
    <s v="Unknown"/>
    <x v="30"/>
    <n v="19"/>
    <n v="72"/>
    <n v="1"/>
    <s v="Carrier A"/>
    <n v="4.7081818735419301"/>
    <x v="4"/>
    <s v="Mumbai"/>
    <n v="6"/>
    <n v="955"/>
    <n v="26"/>
    <n v="4.4652784349432402"/>
    <s v="Pending"/>
    <n v="4.1378770486223502"/>
    <x v="0"/>
    <s v="Route C"/>
    <n v="589.97855562804"/>
  </r>
  <r>
    <x v="0"/>
    <s v="SKU83"/>
    <n v="68.911246211606297"/>
    <n v="82"/>
    <n v="663"/>
    <n v="2411.7546321104901"/>
    <s v="Unknown"/>
    <x v="57"/>
    <n v="24"/>
    <n v="7"/>
    <n v="8"/>
    <s v="Carrier B"/>
    <n v="4.94983957799694"/>
    <x v="1"/>
    <s v="Bangalore"/>
    <n v="20"/>
    <n v="443"/>
    <n v="5"/>
    <n v="97.730593800533001"/>
    <s v="Fail"/>
    <n v="0.77300613406724705"/>
    <x v="0"/>
    <s v="Route A"/>
    <n v="682.97101822609295"/>
  </r>
  <r>
    <x v="0"/>
    <s v="SKU84"/>
    <n v="89.104367292102197"/>
    <n v="99"/>
    <n v="618"/>
    <n v="2048.2900998487098"/>
    <s v="Unknown"/>
    <x v="47"/>
    <n v="26"/>
    <n v="80"/>
    <n v="10"/>
    <s v="Carrier A"/>
    <n v="8.3816156249226292"/>
    <x v="2"/>
    <s v="Chennai"/>
    <n v="24"/>
    <n v="589"/>
    <n v="22"/>
    <n v="33.808636513209002"/>
    <s v="Pass"/>
    <n v="4.8434565771180402"/>
    <x v="1"/>
    <s v="Route B"/>
    <n v="465.45700596368698"/>
  </r>
  <r>
    <x v="2"/>
    <s v="SKU85"/>
    <n v="76.962994415193805"/>
    <n v="83"/>
    <n v="25"/>
    <n v="8684.6130592538502"/>
    <s v="Female"/>
    <x v="58"/>
    <n v="18"/>
    <n v="66"/>
    <n v="2"/>
    <s v="Carrier C"/>
    <n v="8.2491687048717193"/>
    <x v="2"/>
    <s v="Chennai"/>
    <n v="4"/>
    <n v="211"/>
    <n v="2"/>
    <n v="69.929345518672307"/>
    <s v="Fail"/>
    <n v="1.3744289997457499"/>
    <x v="0"/>
    <s v="Route B"/>
    <n v="842.68683000464102"/>
  </r>
  <r>
    <x v="1"/>
    <s v="SKU86"/>
    <n v="19.9981769404042"/>
    <n v="18"/>
    <n v="223"/>
    <n v="1229.59102856498"/>
    <s v="Unknown"/>
    <x v="45"/>
    <n v="14"/>
    <n v="22"/>
    <n v="6"/>
    <s v="Carrier B"/>
    <n v="1.4543053101535499"/>
    <x v="1"/>
    <s v="Mumbai"/>
    <n v="4"/>
    <n v="569"/>
    <n v="18"/>
    <n v="74.608969995194599"/>
    <s v="Pass"/>
    <n v="2.0515129307662399"/>
    <x v="2"/>
    <s v="Route A"/>
    <n v="264.25488983586598"/>
  </r>
  <r>
    <x v="0"/>
    <s v="SKU87"/>
    <n v="80.414036650355698"/>
    <n v="24"/>
    <n v="79"/>
    <n v="5133.8467010866898"/>
    <s v="Male"/>
    <x v="4"/>
    <n v="7"/>
    <n v="55"/>
    <n v="10"/>
    <s v="Carrier A"/>
    <n v="6.5758037975485299"/>
    <x v="0"/>
    <s v="Chennai"/>
    <n v="27"/>
    <n v="523"/>
    <n v="17"/>
    <n v="28.696996824143099"/>
    <s v="Fail"/>
    <n v="3.6937377878392699"/>
    <x v="3"/>
    <s v="Route B"/>
    <n v="879.35921773492396"/>
  </r>
  <r>
    <x v="2"/>
    <s v="SKU88"/>
    <n v="75.270406975724995"/>
    <n v="58"/>
    <n v="737"/>
    <n v="9444.7420330629793"/>
    <s v="Male"/>
    <x v="27"/>
    <n v="18"/>
    <n v="85"/>
    <n v="7"/>
    <s v="Carrier A"/>
    <n v="3.8012531329310701"/>
    <x v="4"/>
    <s v="Mumbai"/>
    <n v="21"/>
    <n v="953"/>
    <n v="11"/>
    <n v="68.1849190570411"/>
    <s v="Pending"/>
    <n v="0.722204401882931"/>
    <x v="3"/>
    <s v="Route A"/>
    <n v="103.916247960704"/>
  </r>
  <r>
    <x v="2"/>
    <s v="SKU89"/>
    <n v="97.760085581938597"/>
    <n v="10"/>
    <n v="134"/>
    <n v="5924.6825668532301"/>
    <s v="Unknown"/>
    <x v="5"/>
    <n v="1"/>
    <n v="27"/>
    <n v="8"/>
    <s v="Carrier B"/>
    <n v="9.9298162452772498"/>
    <x v="1"/>
    <s v="Kolkata"/>
    <n v="23"/>
    <n v="370"/>
    <n v="11"/>
    <n v="46.603873381644398"/>
    <s v="Pending"/>
    <n v="1.9076657339590699"/>
    <x v="2"/>
    <s v="Route B"/>
    <n v="517.49997392906005"/>
  </r>
  <r>
    <x v="1"/>
    <s v="SKU90"/>
    <n v="13.881913501359101"/>
    <n v="56"/>
    <n v="320"/>
    <n v="9592.6335702803099"/>
    <s v="Non-binary"/>
    <x v="59"/>
    <n v="18"/>
    <n v="96"/>
    <n v="7"/>
    <s v="Carrier B"/>
    <n v="7.6744307081126903"/>
    <x v="0"/>
    <s v="Bangalore"/>
    <n v="8"/>
    <n v="585"/>
    <n v="8"/>
    <n v="85.675963335797903"/>
    <s v="Pass"/>
    <n v="1.2193822244013801"/>
    <x v="2"/>
    <s v="Route B"/>
    <n v="990.07847250581096"/>
  </r>
  <r>
    <x v="2"/>
    <s v="SKU91"/>
    <n v="62.111965463961702"/>
    <n v="90"/>
    <n v="916"/>
    <n v="1935.20679350759"/>
    <s v="Male"/>
    <x v="60"/>
    <n v="22"/>
    <n v="85"/>
    <n v="7"/>
    <s v="Carrier B"/>
    <n v="7.4715140844011403"/>
    <x v="3"/>
    <s v="Delhi"/>
    <n v="5"/>
    <n v="207"/>
    <n v="28"/>
    <n v="39.772882502339897"/>
    <s v="Pending"/>
    <n v="0.62600185820939402"/>
    <x v="2"/>
    <s v="Route B"/>
    <n v="996.77831495062298"/>
  </r>
  <r>
    <x v="2"/>
    <s v="SKU92"/>
    <n v="47.714233075820196"/>
    <n v="44"/>
    <n v="276"/>
    <n v="2100.1297546259302"/>
    <s v="Male"/>
    <x v="5"/>
    <n v="25"/>
    <n v="10"/>
    <n v="8"/>
    <s v="Carrier B"/>
    <n v="4.4695000261236002"/>
    <x v="4"/>
    <s v="Mumbai"/>
    <n v="4"/>
    <n v="671"/>
    <n v="29"/>
    <n v="62.612690395614301"/>
    <s v="Pass"/>
    <n v="0.33343182522473902"/>
    <x v="2"/>
    <s v="Route B"/>
    <n v="230.092782536762"/>
  </r>
  <r>
    <x v="0"/>
    <s v="SKU93"/>
    <n v="69.290831002905406"/>
    <n v="88"/>
    <n v="114"/>
    <n v="4531.4021336919004"/>
    <s v="Unknown"/>
    <x v="61"/>
    <n v="17"/>
    <n v="66"/>
    <n v="1"/>
    <s v="Carrier C"/>
    <n v="7.00643205900439"/>
    <x v="3"/>
    <s v="Chennai"/>
    <n v="21"/>
    <n v="824"/>
    <n v="20"/>
    <n v="35.633652343343797"/>
    <s v="Fail"/>
    <n v="4.1657817954241398"/>
    <x v="1"/>
    <s v="Route A"/>
    <n v="823.52384588815505"/>
  </r>
  <r>
    <x v="2"/>
    <s v="SKU94"/>
    <n v="3.0376887246314102"/>
    <n v="97"/>
    <n v="987"/>
    <n v="7888.3565466618702"/>
    <s v="Unknown"/>
    <x v="62"/>
    <n v="26"/>
    <n v="72"/>
    <n v="9"/>
    <s v="Carrier B"/>
    <n v="6.9429459420325799"/>
    <x v="4"/>
    <s v="Delhi"/>
    <n v="12"/>
    <n v="908"/>
    <n v="14"/>
    <n v="60.387378614862101"/>
    <s v="Pass"/>
    <n v="1.4636074984727701"/>
    <x v="2"/>
    <s v="Route B"/>
    <n v="846.66525698669398"/>
  </r>
  <r>
    <x v="0"/>
    <s v="SKU95"/>
    <n v="77.903927219447695"/>
    <n v="65"/>
    <n v="672"/>
    <n v="7386.3639440486604"/>
    <s v="Unknown"/>
    <x v="58"/>
    <n v="14"/>
    <n v="26"/>
    <n v="9"/>
    <s v="Carrier B"/>
    <n v="8.6303388696027508"/>
    <x v="3"/>
    <s v="Mumbai"/>
    <n v="18"/>
    <n v="450"/>
    <n v="26"/>
    <n v="58.890685768589897"/>
    <s v="Pending"/>
    <n v="1.21088212958506"/>
    <x v="1"/>
    <s v="Route A"/>
    <n v="778.86424137664699"/>
  </r>
  <r>
    <x v="2"/>
    <s v="SKU96"/>
    <n v="24.423131420373299"/>
    <n v="29"/>
    <n v="324"/>
    <n v="7698.4247656321104"/>
    <s v="Non-binary"/>
    <x v="63"/>
    <n v="2"/>
    <n v="32"/>
    <n v="3"/>
    <s v="Carrier C"/>
    <n v="5.3528780439967996"/>
    <x v="0"/>
    <s v="Mumbai"/>
    <n v="28"/>
    <n v="648"/>
    <n v="28"/>
    <n v="17.803756331391199"/>
    <s v="Pending"/>
    <n v="3.8720476814821301"/>
    <x v="0"/>
    <s v="Route A"/>
    <n v="188.74214114905601"/>
  </r>
  <r>
    <x v="0"/>
    <s v="SKU97"/>
    <n v="3.5261112591434101"/>
    <n v="56"/>
    <n v="62"/>
    <n v="4370.9165799845296"/>
    <s v="Male"/>
    <x v="10"/>
    <n v="19"/>
    <n v="4"/>
    <n v="9"/>
    <s v="Carrier A"/>
    <n v="7.9048456112096703"/>
    <x v="3"/>
    <s v="Mumbai"/>
    <n v="10"/>
    <n v="535"/>
    <n v="13"/>
    <n v="65.765155926367399"/>
    <s v="Fail"/>
    <n v="3.3762378347179798"/>
    <x v="0"/>
    <s v="Route A"/>
    <n v="540.13242286796697"/>
  </r>
  <r>
    <x v="1"/>
    <s v="SKU98"/>
    <n v="19.754604866878601"/>
    <n v="43"/>
    <n v="913"/>
    <n v="8525.9525596835192"/>
    <s v="Female"/>
    <x v="1"/>
    <n v="1"/>
    <n v="27"/>
    <n v="7"/>
    <s v="Carrier B"/>
    <n v="1.4098010951380699"/>
    <x v="2"/>
    <s v="Chennai"/>
    <n v="28"/>
    <n v="581"/>
    <n v="9"/>
    <n v="5.6046908643717801"/>
    <s v="Pending"/>
    <n v="2.9081221693512598"/>
    <x v="2"/>
    <s v="Route A"/>
    <n v="882.19886354704101"/>
  </r>
  <r>
    <x v="0"/>
    <s v="SKU99"/>
    <n v="68.517832699276596"/>
    <n v="17"/>
    <n v="627"/>
    <n v="9185.1858291817007"/>
    <s v="Unknown"/>
    <x v="64"/>
    <n v="8"/>
    <n v="59"/>
    <n v="6"/>
    <s v="Carrier B"/>
    <n v="1.3110237561206199"/>
    <x v="4"/>
    <s v="Chennai"/>
    <n v="29"/>
    <n v="921"/>
    <n v="2"/>
    <n v="38.072898520625998"/>
    <s v="Fail"/>
    <n v="0.34602729070550298"/>
    <x v="2"/>
    <s v="Route B"/>
    <n v="210.7430089642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345ED-02FA-46EF-BA2D-827CC764232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24">
    <pivotField axis="axisRow" compact="0" outline="0" showAll="0" sortType="descending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 generated" fld="5" baseField="0" baseItem="0" numFmtId="2"/>
  </dataFields>
  <formats count="1">
    <format dxfId="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984D0-8309-436F-8750-A46F59DF110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24"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tock levels" fld="7" subtotal="average" baseField="0" baseItem="0" numFmtId="2"/>
  </dataFields>
  <formats count="1">
    <format dxfId="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F89B3-4ECE-4586-A726-28DAB0246DE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2"/>
        <item x="3"/>
        <item x="0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efect rates" fld="20" subtotal="average" baseField="0" baseItem="0" numFmtId="2"/>
  </dataFields>
  <formats count="1">
    <format dxfId="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16EFB-E3B0-42EB-9A81-31BC5E1B5E3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hipping costs" fld="12" subtotal="average" baseField="0" baseItem="0" numFmtId="2"/>
  </dataFields>
  <formats count="1">
    <format dxfId="1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930E24-33C2-408C-8B15-D7DAE060A381}" name="Table6" displayName="Table6" ref="C18:D26" totalsRowShown="0" headerRowDxfId="13">
  <autoFilter ref="C18:D26" xr:uid="{77930E24-33C2-408C-8B15-D7DAE060A381}">
    <filterColumn colId="0" hiddenButton="1"/>
    <filterColumn colId="1" hiddenButton="1"/>
  </autoFilter>
  <tableColumns count="2">
    <tableColumn id="1" xr3:uid="{89022313-5754-4DE1-8BD7-6BCA449533CD}" name="Column"/>
    <tableColumn id="2" xr3:uid="{BDEEE86F-6228-4752-949C-56301A244CE3}" name="Missing Valu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533ADE-1C6D-4826-9DAD-D3AF99BBAEBF}" name="Table7" displayName="Table7" ref="C33:D45" totalsRowShown="0" headerRowDxfId="12">
  <autoFilter ref="C33:D45" xr:uid="{36533ADE-1C6D-4826-9DAD-D3AF99BBAEBF}">
    <filterColumn colId="0" hiddenButton="1"/>
    <filterColumn colId="1" hiddenButton="1"/>
  </autoFilter>
  <tableColumns count="2">
    <tableColumn id="1" xr3:uid="{87A70CC2-36E4-4C7F-8334-B430C92DDE93}" name="Numerical Variable"/>
    <tableColumn id="2" xr3:uid="{3A4883D1-9168-4DD1-AB68-E57A203E1188}" name="Categorical Variabl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0672E4-2995-47F1-A68D-88989522C9EA}" name="Table8" displayName="Table8" ref="C50:F56" totalsRowShown="0" headerRowDxfId="11">
  <autoFilter ref="C50:F56" xr:uid="{490672E4-2995-47F1-A68D-88989522C9EA}">
    <filterColumn colId="0" hiddenButton="1"/>
    <filterColumn colId="1" hiddenButton="1"/>
    <filterColumn colId="2" hiddenButton="1"/>
    <filterColumn colId="3" hiddenButton="1"/>
  </autoFilter>
  <tableColumns count="4">
    <tableColumn id="1" xr3:uid="{DB4ADB3F-268B-42F7-B0A4-ABD90E04B8A1}" name="Variable"/>
    <tableColumn id="2" xr3:uid="{0D6BB41C-3CB2-4EB2-87F1-B15002113E28}" name="Average" dataDxfId="10"/>
    <tableColumn id="3" xr3:uid="{06B92F1E-8DF5-47EB-B790-4D3942B372BD}" name="Minimum" dataDxfId="9"/>
    <tableColumn id="4" xr3:uid="{BA9E60BA-BFF6-4FD2-AADD-B11EF8F1BCF4}" name="Maximum" dataDxfId="8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263244-958F-47EB-84F3-3C28F13E67C5}" name="Table5" displayName="Table5" ref="D2:G6" totalsRowShown="0" dataDxfId="4">
  <autoFilter ref="D2:G6" xr:uid="{F1263244-958F-47EB-84F3-3C28F13E67C5}">
    <filterColumn colId="0" hiddenButton="1"/>
    <filterColumn colId="1" hiddenButton="1"/>
    <filterColumn colId="2" hiddenButton="1"/>
    <filterColumn colId="3" hiddenButton="1"/>
  </autoFilter>
  <tableColumns count="4">
    <tableColumn id="1" xr3:uid="{82BE5D09-701D-4FE1-A80E-F96D41EBB6E3}" name="Revenue by Product " dataDxfId="3"/>
    <tableColumn id="2" xr3:uid="{9255E332-9435-4541-B838-9D3BCE24E3B4}" name="Stock level by Product type" dataDxfId="2"/>
    <tableColumn id="3" xr3:uid="{10451843-1177-476D-837A-04ECF28DB8BA}" name="Defect rate by Supplier" dataDxfId="1"/>
    <tableColumn id="4" xr3:uid="{F56972C8-9835-4458-BDE4-2C5270D678C6}" name="Shipping Cost by Transportation Mod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A0F9-5695-4EF8-B35D-04DFF2F8E52B}">
  <dimension ref="A1:X101"/>
  <sheetViews>
    <sheetView tabSelected="1" workbookViewId="0"/>
  </sheetViews>
  <sheetFormatPr defaultRowHeight="14.4" x14ac:dyDescent="0.3"/>
  <cols>
    <col min="1" max="1" width="12.109375" bestFit="1" customWidth="1"/>
    <col min="2" max="2" width="6.5546875" bestFit="1" customWidth="1"/>
    <col min="3" max="3" width="12.33203125" bestFit="1" customWidth="1"/>
    <col min="4" max="4" width="10.44140625" bestFit="1" customWidth="1"/>
    <col min="5" max="5" width="22.5546875" bestFit="1" customWidth="1"/>
    <col min="6" max="6" width="17.88671875" bestFit="1" customWidth="1"/>
    <col min="7" max="7" width="22.109375" bestFit="1" customWidth="1"/>
    <col min="8" max="8" width="11" bestFit="1" customWidth="1"/>
    <col min="9" max="9" width="10.33203125" bestFit="1" customWidth="1"/>
    <col min="10" max="10" width="15.109375" bestFit="1" customWidth="1"/>
    <col min="11" max="11" width="13.6640625" bestFit="1" customWidth="1"/>
    <col min="12" max="12" width="15.44140625" bestFit="1" customWidth="1"/>
    <col min="13" max="13" width="13.33203125" bestFit="1" customWidth="1"/>
    <col min="14" max="14" width="13.44140625" bestFit="1" customWidth="1"/>
    <col min="15" max="15" width="9.6640625" bestFit="1" customWidth="1"/>
    <col min="16" max="16" width="9.44140625" bestFit="1" customWidth="1"/>
    <col min="17" max="17" width="18.33203125" bestFit="1" customWidth="1"/>
    <col min="18" max="18" width="22.44140625" bestFit="1" customWidth="1"/>
    <col min="19" max="19" width="18.6640625" bestFit="1" customWidth="1"/>
    <col min="20" max="20" width="16.33203125" bestFit="1" customWidth="1"/>
    <col min="21" max="21" width="12.33203125" bestFit="1" customWidth="1"/>
    <col min="22" max="22" width="20.109375" bestFit="1" customWidth="1"/>
    <col min="23" max="23" width="7.6640625" bestFit="1" customWidth="1"/>
    <col min="24" max="24" width="12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3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3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3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3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3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3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 x14ac:dyDescent="0.3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3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3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3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 x14ac:dyDescent="0.3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3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3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3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3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3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3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3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3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3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3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3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3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3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3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3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3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3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3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3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3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3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3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3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3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3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3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3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3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3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3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3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3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3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3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3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3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3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3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3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3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3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3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3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3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3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3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3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3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3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3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3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3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3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3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3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3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3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3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3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3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3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3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3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3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3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3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3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3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3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3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3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3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3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3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3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3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3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3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3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3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3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3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3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3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3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3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3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3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5BF4-46EA-4C77-9034-40333A751D65}">
  <dimension ref="C2:G64"/>
  <sheetViews>
    <sheetView topLeftCell="A60" workbookViewId="0">
      <selection activeCell="F29" sqref="F29"/>
    </sheetView>
  </sheetViews>
  <sheetFormatPr defaultRowHeight="14.4" x14ac:dyDescent="0.3"/>
  <cols>
    <col min="3" max="3" width="36.5546875" bestFit="1" customWidth="1"/>
    <col min="4" max="4" width="34.44140625" bestFit="1" customWidth="1"/>
    <col min="5" max="5" width="11.88671875" bestFit="1" customWidth="1"/>
    <col min="6" max="6" width="14" bestFit="1" customWidth="1"/>
    <col min="7" max="7" width="36.5546875" bestFit="1" customWidth="1"/>
  </cols>
  <sheetData>
    <row r="2" spans="3:7" x14ac:dyDescent="0.3">
      <c r="C2" s="1" t="s">
        <v>154</v>
      </c>
      <c r="D2">
        <v>101</v>
      </c>
    </row>
    <row r="3" spans="3:7" x14ac:dyDescent="0.3">
      <c r="C3" s="1" t="s">
        <v>155</v>
      </c>
      <c r="D3">
        <v>24</v>
      </c>
    </row>
    <row r="6" spans="3:7" x14ac:dyDescent="0.3">
      <c r="C6" s="5" t="s">
        <v>156</v>
      </c>
      <c r="D6" s="6" t="s">
        <v>157</v>
      </c>
      <c r="E6" s="7"/>
    </row>
    <row r="7" spans="3:7" x14ac:dyDescent="0.3">
      <c r="C7" s="8" t="s">
        <v>0</v>
      </c>
      <c r="D7" s="9" t="s">
        <v>158</v>
      </c>
      <c r="E7" s="10"/>
    </row>
    <row r="8" spans="3:7" x14ac:dyDescent="0.3">
      <c r="C8" s="11" t="s">
        <v>5</v>
      </c>
      <c r="D8" s="12" t="s">
        <v>159</v>
      </c>
      <c r="E8" s="13"/>
    </row>
    <row r="9" spans="3:7" x14ac:dyDescent="0.3">
      <c r="C9" s="8" t="s">
        <v>7</v>
      </c>
      <c r="D9" s="9" t="s">
        <v>160</v>
      </c>
      <c r="E9" s="10"/>
    </row>
    <row r="10" spans="3:7" x14ac:dyDescent="0.3">
      <c r="C10" s="11" t="s">
        <v>10</v>
      </c>
      <c r="D10" s="12" t="s">
        <v>161</v>
      </c>
      <c r="E10" s="13"/>
      <c r="G10" s="2"/>
    </row>
    <row r="11" spans="3:7" x14ac:dyDescent="0.3">
      <c r="C11" s="8" t="s">
        <v>12</v>
      </c>
      <c r="D11" s="9" t="s">
        <v>162</v>
      </c>
      <c r="E11" s="10"/>
    </row>
    <row r="12" spans="3:7" x14ac:dyDescent="0.3">
      <c r="C12" s="11" t="s">
        <v>13</v>
      </c>
      <c r="D12" s="12" t="s">
        <v>163</v>
      </c>
      <c r="E12" s="13"/>
    </row>
    <row r="13" spans="3:7" x14ac:dyDescent="0.3">
      <c r="C13" s="8" t="s">
        <v>20</v>
      </c>
      <c r="D13" s="9" t="s">
        <v>164</v>
      </c>
      <c r="E13" s="10"/>
    </row>
    <row r="14" spans="3:7" x14ac:dyDescent="0.3">
      <c r="C14" s="14" t="s">
        <v>21</v>
      </c>
      <c r="D14" s="15" t="s">
        <v>165</v>
      </c>
      <c r="E14" s="16"/>
    </row>
    <row r="17" spans="3:4" ht="25.8" x14ac:dyDescent="0.5">
      <c r="C17" s="21" t="s">
        <v>166</v>
      </c>
      <c r="D17" s="21"/>
    </row>
    <row r="18" spans="3:4" ht="15" customHeight="1" x14ac:dyDescent="0.3">
      <c r="C18" s="1" t="s">
        <v>167</v>
      </c>
      <c r="D18" s="1" t="s">
        <v>168</v>
      </c>
    </row>
    <row r="19" spans="3:4" x14ac:dyDescent="0.3">
      <c r="C19" t="s">
        <v>0</v>
      </c>
      <c r="D19">
        <f>COUNTBLANK('Supply Chain Dataset'!A1:A101)</f>
        <v>0</v>
      </c>
    </row>
    <row r="20" spans="3:4" x14ac:dyDescent="0.3">
      <c r="C20" t="s">
        <v>5</v>
      </c>
      <c r="D20">
        <f>COUNTBLANK('Supply Chain Dataset'!F1:F101)</f>
        <v>0</v>
      </c>
    </row>
    <row r="21" spans="3:4" x14ac:dyDescent="0.3">
      <c r="C21" t="s">
        <v>7</v>
      </c>
      <c r="D21">
        <f>COUNTBLANK('Supply Chain Dataset'!H1:H101)</f>
        <v>0</v>
      </c>
    </row>
    <row r="22" spans="3:4" x14ac:dyDescent="0.3">
      <c r="C22" t="s">
        <v>10</v>
      </c>
      <c r="D22">
        <f>COUNTBLANK('Supply Chain Dataset'!K1:K101)</f>
        <v>0</v>
      </c>
    </row>
    <row r="23" spans="3:4" x14ac:dyDescent="0.3">
      <c r="C23" t="s">
        <v>12</v>
      </c>
      <c r="D23">
        <f>COUNTBLANK('Supply Chain Dataset'!M1:M101)</f>
        <v>0</v>
      </c>
    </row>
    <row r="24" spans="3:4" x14ac:dyDescent="0.3">
      <c r="C24" t="s">
        <v>13</v>
      </c>
      <c r="D24">
        <f>COUNTBLANK('Supply Chain Dataset'!N1:N101)</f>
        <v>0</v>
      </c>
    </row>
    <row r="25" spans="3:4" x14ac:dyDescent="0.3">
      <c r="C25" t="s">
        <v>20</v>
      </c>
      <c r="D25">
        <f>COUNTBLANK('Supply Chain Dataset'!U1:U101)</f>
        <v>0</v>
      </c>
    </row>
    <row r="26" spans="3:4" x14ac:dyDescent="0.3">
      <c r="C26" t="s">
        <v>21</v>
      </c>
      <c r="D26">
        <f>COUNTBLANK('Supply Chain Dataset'!V1:V101)</f>
        <v>0</v>
      </c>
    </row>
    <row r="29" spans="3:4" ht="25.8" x14ac:dyDescent="0.5">
      <c r="C29" s="21" t="s">
        <v>169</v>
      </c>
      <c r="D29" s="21"/>
    </row>
    <row r="30" spans="3:4" x14ac:dyDescent="0.3">
      <c r="C30" t="s">
        <v>170</v>
      </c>
      <c r="D30">
        <v>0</v>
      </c>
    </row>
    <row r="31" spans="3:4" ht="26.25" customHeight="1" x14ac:dyDescent="0.3">
      <c r="C31" s="21" t="s">
        <v>171</v>
      </c>
      <c r="D31" s="21"/>
    </row>
    <row r="32" spans="3:4" x14ac:dyDescent="0.3">
      <c r="C32" s="21"/>
      <c r="D32" s="21"/>
    </row>
    <row r="33" spans="3:6" x14ac:dyDescent="0.3">
      <c r="C33" s="1" t="s">
        <v>172</v>
      </c>
      <c r="D33" s="1" t="s">
        <v>173</v>
      </c>
    </row>
    <row r="34" spans="3:6" x14ac:dyDescent="0.3">
      <c r="C34" t="s">
        <v>2</v>
      </c>
      <c r="D34" t="s">
        <v>0</v>
      </c>
    </row>
    <row r="35" spans="3:6" x14ac:dyDescent="0.3">
      <c r="C35" t="s">
        <v>3</v>
      </c>
      <c r="D35" t="s">
        <v>1</v>
      </c>
    </row>
    <row r="36" spans="3:6" x14ac:dyDescent="0.3">
      <c r="C36" t="s">
        <v>4</v>
      </c>
      <c r="D36" t="s">
        <v>6</v>
      </c>
    </row>
    <row r="37" spans="3:6" x14ac:dyDescent="0.3">
      <c r="C37" t="s">
        <v>5</v>
      </c>
      <c r="D37" t="s">
        <v>11</v>
      </c>
    </row>
    <row r="38" spans="3:6" x14ac:dyDescent="0.3">
      <c r="C38" t="s">
        <v>7</v>
      </c>
      <c r="D38" t="s">
        <v>13</v>
      </c>
    </row>
    <row r="39" spans="3:6" x14ac:dyDescent="0.3">
      <c r="C39" t="s">
        <v>8</v>
      </c>
      <c r="D39" t="s">
        <v>14</v>
      </c>
    </row>
    <row r="40" spans="3:6" x14ac:dyDescent="0.3">
      <c r="C40" t="s">
        <v>9</v>
      </c>
      <c r="D40" t="s">
        <v>19</v>
      </c>
    </row>
    <row r="41" spans="3:6" x14ac:dyDescent="0.3">
      <c r="C41" t="s">
        <v>10</v>
      </c>
      <c r="D41" t="s">
        <v>21</v>
      </c>
    </row>
    <row r="42" spans="3:6" x14ac:dyDescent="0.3">
      <c r="C42" t="s">
        <v>12</v>
      </c>
      <c r="D42" t="s">
        <v>22</v>
      </c>
    </row>
    <row r="43" spans="3:6" x14ac:dyDescent="0.3">
      <c r="C43" t="s">
        <v>20</v>
      </c>
    </row>
    <row r="44" spans="3:6" x14ac:dyDescent="0.3">
      <c r="C44" t="s">
        <v>23</v>
      </c>
    </row>
    <row r="45" spans="3:6" x14ac:dyDescent="0.3">
      <c r="C45" s="2"/>
      <c r="D45" s="2"/>
    </row>
    <row r="46" spans="3:6" ht="18" x14ac:dyDescent="0.35">
      <c r="C46" s="20" t="s">
        <v>174</v>
      </c>
    </row>
    <row r="47" spans="3:6" ht="18" x14ac:dyDescent="0.35">
      <c r="C47" s="20"/>
    </row>
    <row r="48" spans="3:6" ht="18" customHeight="1" x14ac:dyDescent="0.3">
      <c r="C48" s="21" t="s">
        <v>175</v>
      </c>
      <c r="D48" s="21"/>
      <c r="E48" s="21"/>
      <c r="F48" s="21"/>
    </row>
    <row r="49" spans="3:6" x14ac:dyDescent="0.3">
      <c r="C49" s="21"/>
      <c r="D49" s="21"/>
      <c r="E49" s="21"/>
      <c r="F49" s="21"/>
    </row>
    <row r="50" spans="3:6" x14ac:dyDescent="0.3">
      <c r="C50" s="17" t="s">
        <v>176</v>
      </c>
      <c r="D50" s="17" t="s">
        <v>177</v>
      </c>
      <c r="E50" s="17" t="s">
        <v>178</v>
      </c>
      <c r="F50" s="17" t="s">
        <v>179</v>
      </c>
    </row>
    <row r="51" spans="3:6" x14ac:dyDescent="0.3">
      <c r="C51" t="s">
        <v>5</v>
      </c>
      <c r="D51" s="18">
        <f>AVERAGE('Supply Chain Dataset'!F1:F101)</f>
        <v>5776.0481873800791</v>
      </c>
      <c r="E51" s="18">
        <f>MIN('Supply Chain Dataset'!F1:F101)</f>
        <v>1061.6185230132801</v>
      </c>
      <c r="F51" s="18">
        <f>MAX('Supply Chain Dataset'!F1:F101)</f>
        <v>9866.4654579796897</v>
      </c>
    </row>
    <row r="52" spans="3:6" x14ac:dyDescent="0.3">
      <c r="C52" t="s">
        <v>7</v>
      </c>
      <c r="D52" s="18">
        <f>AVERAGE('Supply Chain Dataset'!H1:H101)</f>
        <v>47.77</v>
      </c>
      <c r="E52" s="18">
        <f>MIN('Supply Chain Dataset'!H1:H101)</f>
        <v>0</v>
      </c>
      <c r="F52" s="18">
        <f>MAX('Supply Chain Dataset'!H1:H101)</f>
        <v>100</v>
      </c>
    </row>
    <row r="53" spans="3:6" x14ac:dyDescent="0.3">
      <c r="C53" t="s">
        <v>10</v>
      </c>
      <c r="D53" s="18">
        <f>AVERAGE('Supply Chain Dataset'!K1:K101)</f>
        <v>5.75</v>
      </c>
      <c r="E53" s="18">
        <f>MIN('Supply Chain Dataset'!K1:K101)</f>
        <v>1</v>
      </c>
      <c r="F53" s="18">
        <f>MAX('Supply Chain Dataset'!K1:K101)</f>
        <v>10</v>
      </c>
    </row>
    <row r="54" spans="3:6" x14ac:dyDescent="0.3">
      <c r="C54" t="s">
        <v>12</v>
      </c>
      <c r="D54" s="18">
        <f>AVERAGE('Supply Chain Dataset'!M1:M101)</f>
        <v>5.5481490720195836</v>
      </c>
      <c r="E54" s="18">
        <f>MIN('Supply Chain Dataset'!M1:M101)</f>
        <v>1.0134865660958901</v>
      </c>
      <c r="F54" s="18">
        <f>MAX('Supply Chain Dataset'!M1:M101)</f>
        <v>9.9298162452772498</v>
      </c>
    </row>
    <row r="55" spans="3:6" x14ac:dyDescent="0.3">
      <c r="C55" t="s">
        <v>20</v>
      </c>
      <c r="D55" s="18">
        <f>AVERAGE('Supply Chain Dataset'!U1:U101)</f>
        <v>2.2771579927396073</v>
      </c>
      <c r="E55" s="18">
        <f>MIN('Supply Chain Dataset'!U1:U101)</f>
        <v>1.8607567631014899E-2</v>
      </c>
      <c r="F55" s="18">
        <f>MAX('Supply Chain Dataset'!U1:U101)</f>
        <v>4.9392552886209398</v>
      </c>
    </row>
    <row r="56" spans="3:6" x14ac:dyDescent="0.3">
      <c r="C56" t="s">
        <v>23</v>
      </c>
      <c r="D56" s="18">
        <f>AVERAGE('Supply Chain Dataset'!X1:X101)</f>
        <v>529.24578215814063</v>
      </c>
      <c r="E56" s="18">
        <f>MIN('Supply Chain Dataset'!X1:X101)</f>
        <v>103.916247960704</v>
      </c>
      <c r="F56" s="18">
        <f>MAX('Supply Chain Dataset'!X1:X101)</f>
        <v>997.41345013319403</v>
      </c>
    </row>
    <row r="59" spans="3:6" ht="18" x14ac:dyDescent="0.35">
      <c r="D59" s="19" t="s">
        <v>180</v>
      </c>
    </row>
    <row r="60" spans="3:6" ht="43.8" x14ac:dyDescent="0.35">
      <c r="C60" s="19"/>
      <c r="D60" s="2" t="s">
        <v>181</v>
      </c>
    </row>
    <row r="61" spans="3:6" ht="43.2" x14ac:dyDescent="0.3">
      <c r="C61" s="2"/>
      <c r="D61" s="2" t="s">
        <v>182</v>
      </c>
    </row>
    <row r="62" spans="3:6" ht="28.8" x14ac:dyDescent="0.3">
      <c r="C62" s="2"/>
      <c r="D62" s="2" t="s">
        <v>183</v>
      </c>
    </row>
    <row r="63" spans="3:6" ht="43.2" x14ac:dyDescent="0.3">
      <c r="C63" s="2"/>
      <c r="D63" s="2" t="s">
        <v>184</v>
      </c>
    </row>
    <row r="64" spans="3:6" x14ac:dyDescent="0.3">
      <c r="C64" s="2"/>
    </row>
  </sheetData>
  <mergeCells count="4">
    <mergeCell ref="C17:D17"/>
    <mergeCell ref="C31:D32"/>
    <mergeCell ref="C48:F49"/>
    <mergeCell ref="C29:D2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8AE6-A1E9-4A77-A538-9EFC07C52E17}">
  <dimension ref="A3:B7"/>
  <sheetViews>
    <sheetView workbookViewId="0">
      <selection activeCell="D8" sqref="D8"/>
    </sheetView>
  </sheetViews>
  <sheetFormatPr defaultRowHeight="14.4" x14ac:dyDescent="0.3"/>
  <cols>
    <col min="1" max="1" width="15.44140625" bestFit="1" customWidth="1"/>
    <col min="2" max="2" width="24.88671875" bestFit="1" customWidth="1"/>
  </cols>
  <sheetData>
    <row r="3" spans="1:2" x14ac:dyDescent="0.3">
      <c r="A3" s="3" t="s">
        <v>0</v>
      </c>
      <c r="B3" t="s">
        <v>185</v>
      </c>
    </row>
    <row r="4" spans="1:2" x14ac:dyDescent="0.3">
      <c r="A4" t="s">
        <v>33</v>
      </c>
      <c r="B4" s="18">
        <v>241628.16213306302</v>
      </c>
    </row>
    <row r="5" spans="1:2" x14ac:dyDescent="0.3">
      <c r="A5" t="s">
        <v>24</v>
      </c>
      <c r="B5" s="18">
        <v>174455.39060546222</v>
      </c>
    </row>
    <row r="6" spans="1:2" x14ac:dyDescent="0.3">
      <c r="A6" t="s">
        <v>57</v>
      </c>
      <c r="B6" s="18">
        <v>161521.26599948306</v>
      </c>
    </row>
    <row r="7" spans="1:2" x14ac:dyDescent="0.3">
      <c r="A7" t="s">
        <v>186</v>
      </c>
      <c r="B7" s="18">
        <v>577604.81873800827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2C0F-F134-48E1-957D-1AD491710F45}">
  <dimension ref="A3:B7"/>
  <sheetViews>
    <sheetView workbookViewId="0">
      <selection activeCell="B4" sqref="B4:B7"/>
    </sheetView>
  </sheetViews>
  <sheetFormatPr defaultRowHeight="14.4" x14ac:dyDescent="0.3"/>
  <cols>
    <col min="1" max="1" width="15.44140625" bestFit="1" customWidth="1"/>
    <col min="2" max="2" width="21.44140625" bestFit="1" customWidth="1"/>
  </cols>
  <sheetData>
    <row r="3" spans="1:2" x14ac:dyDescent="0.3">
      <c r="A3" s="3" t="s">
        <v>0</v>
      </c>
      <c r="B3" t="s">
        <v>187</v>
      </c>
    </row>
    <row r="4" spans="1:2" x14ac:dyDescent="0.3">
      <c r="A4" t="s">
        <v>57</v>
      </c>
      <c r="B4" s="18">
        <v>58.653846153846153</v>
      </c>
    </row>
    <row r="5" spans="1:2" x14ac:dyDescent="0.3">
      <c r="A5" t="s">
        <v>24</v>
      </c>
      <c r="B5" s="18">
        <v>48.352941176470587</v>
      </c>
    </row>
    <row r="6" spans="1:2" x14ac:dyDescent="0.3">
      <c r="A6" t="s">
        <v>33</v>
      </c>
      <c r="B6" s="18">
        <v>40.200000000000003</v>
      </c>
    </row>
    <row r="7" spans="1:2" x14ac:dyDescent="0.3">
      <c r="A7" t="s">
        <v>186</v>
      </c>
      <c r="B7" s="18">
        <v>47.77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91F0-289B-4116-A382-9D37F69453AB}">
  <dimension ref="A3:B9"/>
  <sheetViews>
    <sheetView workbookViewId="0">
      <selection activeCell="B4" sqref="B4:B9"/>
    </sheetView>
  </sheetViews>
  <sheetFormatPr defaultRowHeight="14.4" x14ac:dyDescent="0.3"/>
  <cols>
    <col min="1" max="1" width="16.88671875" bestFit="1" customWidth="1"/>
    <col min="2" max="2" width="21.6640625" bestFit="1" customWidth="1"/>
  </cols>
  <sheetData>
    <row r="3" spans="1:2" x14ac:dyDescent="0.3">
      <c r="A3" s="3" t="s">
        <v>13</v>
      </c>
      <c r="B3" t="s">
        <v>188</v>
      </c>
    </row>
    <row r="4" spans="1:2" x14ac:dyDescent="0.3">
      <c r="A4" t="s">
        <v>44</v>
      </c>
      <c r="B4" s="18">
        <v>2.6654083441491982</v>
      </c>
    </row>
    <row r="5" spans="1:2" x14ac:dyDescent="0.3">
      <c r="A5" t="s">
        <v>52</v>
      </c>
      <c r="B5" s="18">
        <v>2.3373974005913354</v>
      </c>
    </row>
    <row r="6" spans="1:2" x14ac:dyDescent="0.3">
      <c r="A6" t="s">
        <v>28</v>
      </c>
      <c r="B6" s="18">
        <v>2.4657860307644657</v>
      </c>
    </row>
    <row r="7" spans="1:2" x14ac:dyDescent="0.3">
      <c r="A7" t="s">
        <v>61</v>
      </c>
      <c r="B7" s="18">
        <v>2.3627501450718764</v>
      </c>
    </row>
    <row r="8" spans="1:2" x14ac:dyDescent="0.3">
      <c r="A8" t="s">
        <v>39</v>
      </c>
      <c r="B8" s="18">
        <v>1.8036297116882485</v>
      </c>
    </row>
    <row r="9" spans="1:2" x14ac:dyDescent="0.3">
      <c r="A9" t="s">
        <v>186</v>
      </c>
      <c r="B9" s="18">
        <v>2.2771579927396073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CD71D-7B89-4B7A-9C6C-242CFE48B911}">
  <dimension ref="A3:B8"/>
  <sheetViews>
    <sheetView workbookViewId="0">
      <selection activeCell="B4" sqref="B4"/>
    </sheetView>
  </sheetViews>
  <sheetFormatPr defaultRowHeight="14.4" x14ac:dyDescent="0.3"/>
  <cols>
    <col min="1" max="1" width="23.6640625" bestFit="1" customWidth="1"/>
    <col min="2" max="2" width="23.5546875" bestFit="1" customWidth="1"/>
  </cols>
  <sheetData>
    <row r="3" spans="1:2" x14ac:dyDescent="0.3">
      <c r="A3" s="3" t="s">
        <v>21</v>
      </c>
      <c r="B3" t="s">
        <v>189</v>
      </c>
    </row>
    <row r="4" spans="1:2" x14ac:dyDescent="0.3">
      <c r="A4" t="s">
        <v>56</v>
      </c>
      <c r="B4" s="18">
        <v>4.9702938152238989</v>
      </c>
    </row>
    <row r="5" spans="1:2" x14ac:dyDescent="0.3">
      <c r="A5" t="s">
        <v>31</v>
      </c>
      <c r="B5" s="18">
        <v>5.542115390045792</v>
      </c>
    </row>
    <row r="6" spans="1:2" x14ac:dyDescent="0.3">
      <c r="A6" t="s">
        <v>47</v>
      </c>
      <c r="B6" s="18">
        <v>5.4690979361028562</v>
      </c>
    </row>
    <row r="7" spans="1:2" x14ac:dyDescent="0.3">
      <c r="A7" t="s">
        <v>40</v>
      </c>
      <c r="B7" s="18">
        <v>6.0178393777286159</v>
      </c>
    </row>
    <row r="8" spans="1:2" x14ac:dyDescent="0.3">
      <c r="A8" t="s">
        <v>186</v>
      </c>
      <c r="B8" s="18">
        <v>5.548149072019581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BD3F-E0EF-4657-BC94-30CB9C92D483}">
  <dimension ref="D2:G6"/>
  <sheetViews>
    <sheetView workbookViewId="0">
      <selection activeCell="H8" sqref="H8"/>
    </sheetView>
  </sheetViews>
  <sheetFormatPr defaultRowHeight="14.4" x14ac:dyDescent="0.3"/>
  <cols>
    <col min="4" max="4" width="36.5546875" bestFit="1" customWidth="1"/>
    <col min="5" max="5" width="36.5546875" customWidth="1"/>
    <col min="6" max="7" width="36.5546875" bestFit="1" customWidth="1"/>
  </cols>
  <sheetData>
    <row r="2" spans="4:7" x14ac:dyDescent="0.3">
      <c r="D2" t="s">
        <v>190</v>
      </c>
      <c r="E2" t="s">
        <v>191</v>
      </c>
      <c r="F2" t="s">
        <v>192</v>
      </c>
      <c r="G2" t="s">
        <v>193</v>
      </c>
    </row>
    <row r="3" spans="4:7" ht="28.8" x14ac:dyDescent="0.3">
      <c r="D3" s="4" t="s">
        <v>194</v>
      </c>
      <c r="E3" s="2" t="s">
        <v>195</v>
      </c>
      <c r="F3" s="2" t="s">
        <v>196</v>
      </c>
      <c r="G3" s="2" t="s">
        <v>197</v>
      </c>
    </row>
    <row r="4" spans="4:7" ht="28.8" x14ac:dyDescent="0.3">
      <c r="D4" s="2" t="s">
        <v>198</v>
      </c>
      <c r="E4" s="2" t="s">
        <v>199</v>
      </c>
      <c r="F4" s="2" t="s">
        <v>200</v>
      </c>
      <c r="G4" s="2" t="s">
        <v>201</v>
      </c>
    </row>
    <row r="5" spans="4:7" ht="28.8" x14ac:dyDescent="0.3">
      <c r="D5" s="2" t="s">
        <v>202</v>
      </c>
      <c r="E5" s="2" t="s">
        <v>203</v>
      </c>
      <c r="F5" s="2" t="s">
        <v>204</v>
      </c>
      <c r="G5" s="2" t="s">
        <v>205</v>
      </c>
    </row>
    <row r="6" spans="4:7" ht="28.8" x14ac:dyDescent="0.3">
      <c r="D6" s="2" t="s">
        <v>206</v>
      </c>
      <c r="E6" s="2" t="s">
        <v>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Supply Chain Dataset</vt:lpstr>
      <vt:lpstr>Data Profiling</vt:lpstr>
      <vt:lpstr>Revenye by Product</vt:lpstr>
      <vt:lpstr>Stock level by Product Type</vt:lpstr>
      <vt:lpstr>Defect Rate by Supplier</vt:lpstr>
      <vt:lpstr>Shipping cost by Mode</vt:lpstr>
      <vt:lpstr>Insights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manpreet kaur</dc:creator>
  <cp:keywords/>
  <dc:description/>
  <cp:lastModifiedBy>manpreet kaur</cp:lastModifiedBy>
  <cp:revision/>
  <dcterms:created xsi:type="dcterms:W3CDTF">2026-05-30T17:57:30Z</dcterms:created>
  <dcterms:modified xsi:type="dcterms:W3CDTF">2026-06-18T21:39:04Z</dcterms:modified>
  <cp:category/>
  <cp:contentStatus/>
</cp:coreProperties>
</file>